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Ana\Master Data Analytics\projecto_Ana_portfolio\PMO controller\"/>
    </mc:Choice>
  </mc:AlternateContent>
  <xr:revisionPtr revIDLastSave="0" documentId="13_ncr:1_{C652DA72-F542-4236-B0AA-27CEEE67DCEE}" xr6:coauthVersionLast="47" xr6:coauthVersionMax="47" xr10:uidLastSave="{00000000-0000-0000-0000-000000000000}"/>
  <workbookProtection workbookAlgorithmName="SHA-512" workbookHashValue="Iq420HD5L7T1LeY0RqNhQpD5j+meheCfOgYimWtA2OQpcXEMKH9tp4qwxf43N0jVxZVMiinLIAt8hxoPdbwCcQ==" workbookSaltValue="YpwPP5bLP/g1J/o5Ish03g==" workbookSpinCount="100000" lockStructure="1"/>
  <bookViews>
    <workbookView xWindow="-108" yWindow="-108" windowWidth="23256" windowHeight="12456" activeTab="4" xr2:uid="{685A97DD-23F0-4FB8-BCFA-BF872B88C466}"/>
  </bookViews>
  <sheets>
    <sheet name="Projects_Data" sheetId="1" r:id="rId1"/>
    <sheet name="Tasks" sheetId="2" r:id="rId2"/>
    <sheet name="Gantt_View" sheetId="8" r:id="rId3"/>
    <sheet name="Lists" sheetId="5" r:id="rId4"/>
    <sheet name="Dashboard" sheetId="9" r:id="rId5"/>
  </sheets>
  <definedNames>
    <definedName name="_xleta.COUNT" hidden="1" xlm="1">#NAME?</definedName>
    <definedName name="_xleta.DURATION" hidden="1" xlm="1">#NAME?</definedName>
    <definedName name="_xleta.EXP" hidden="1" xlm="1">#NAME?</definedName>
    <definedName name="_xleta.SUM" hidden="1" xlm="1">#NAME?</definedName>
    <definedName name="_xleta.T" hidden="1" xlm="1">#NAME?</definedName>
    <definedName name="Filter_Country">Dashboard!$M$5</definedName>
    <definedName name="Filter_Manager">Dashboard!$M$7</definedName>
    <definedName name="Filter_Risk">Dashboard!$M$6</definedName>
    <definedName name="Filter_Status">Dashboard!$M$3</definedName>
    <definedName name="Filter_Tech">Dashboard!$M$4</definedName>
    <definedName name="_xlnm.Print_Area" localSheetId="4">Dashboard!$B$2:$M$55</definedName>
    <definedName name="_xlnm.Print_Area" localSheetId="3">Lists!$G$1:$V$85</definedName>
    <definedName name="_xlnm.Print_Area" localSheetId="0">Projects_Data!$J$1:$AB$85</definedName>
    <definedName name="_xlnm.Print_Area" localSheetId="1">Tasks!$J$1:$X$85</definedName>
    <definedName name="Slicer_Project_ID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5" l="1"/>
  <c r="I6" i="5"/>
  <c r="I14" i="5" s="1"/>
  <c r="L2" i="9"/>
  <c r="H46" i="9"/>
  <c r="G46" i="9"/>
  <c r="H45" i="9"/>
  <c r="G45" i="9"/>
  <c r="D50" i="9"/>
  <c r="D49" i="9"/>
  <c r="D48" i="9"/>
  <c r="D47" i="9"/>
  <c r="D46" i="9"/>
  <c r="D45" i="9"/>
  <c r="J40" i="9"/>
  <c r="J39" i="9"/>
  <c r="J38" i="9"/>
  <c r="B55" i="9"/>
  <c r="B53" i="9"/>
  <c r="C50" i="9"/>
  <c r="C49" i="9"/>
  <c r="C48" i="9"/>
  <c r="C47" i="9"/>
  <c r="C46" i="9"/>
  <c r="C45" i="9"/>
  <c r="I40" i="9"/>
  <c r="I39" i="9"/>
  <c r="I38" i="9"/>
  <c r="N6" i="8"/>
  <c r="H8" i="8"/>
  <c r="I8" i="8" s="1"/>
  <c r="J8" i="8" s="1"/>
  <c r="K8" i="8" s="1"/>
  <c r="L8" i="8" s="1"/>
  <c r="M8" i="8" s="1"/>
  <c r="N8" i="8" s="1"/>
  <c r="O8" i="8" s="1"/>
  <c r="P8" i="8" s="1"/>
  <c r="Q8" i="8" s="1"/>
  <c r="R8" i="8" s="1"/>
  <c r="S8" i="8" s="1"/>
  <c r="T8" i="8" s="1"/>
  <c r="U8" i="8" s="1"/>
  <c r="V8" i="8" s="1"/>
  <c r="W8" i="8" s="1"/>
  <c r="X8" i="8" s="1"/>
  <c r="Y8" i="8" s="1"/>
  <c r="Z8" i="8" s="1"/>
  <c r="AA8" i="8" s="1"/>
  <c r="AB8" i="8" s="1"/>
  <c r="AC8" i="8" s="1"/>
  <c r="AD8" i="8" s="1"/>
  <c r="AE8" i="8" s="1"/>
  <c r="AF8" i="8" s="1"/>
  <c r="AG8" i="8" s="1"/>
  <c r="AH8" i="8" s="1"/>
  <c r="AI8" i="8" s="1"/>
  <c r="AJ8" i="8" s="1"/>
  <c r="AK8" i="8" s="1"/>
  <c r="AL8" i="8" s="1"/>
  <c r="AM8" i="8" s="1"/>
  <c r="AN8" i="8" s="1"/>
  <c r="AO8" i="8" s="1"/>
  <c r="AP8" i="8" s="1"/>
  <c r="AQ8" i="8" s="1"/>
  <c r="AR8" i="8" s="1"/>
  <c r="AS8" i="8" s="1"/>
  <c r="AT8" i="8" s="1"/>
  <c r="AU8" i="8" s="1"/>
  <c r="AV8" i="8" s="1"/>
  <c r="AW8" i="8" s="1"/>
  <c r="AX8" i="8" s="1"/>
  <c r="AY8" i="8" s="1"/>
  <c r="AZ8" i="8" s="1"/>
  <c r="BA8" i="8" s="1"/>
  <c r="BB8" i="8" s="1"/>
  <c r="BC8" i="8" s="1"/>
  <c r="I4" i="8"/>
  <c r="H4" i="8"/>
  <c r="G4" i="8"/>
  <c r="F4" i="8"/>
  <c r="D4" i="8"/>
  <c r="C4" i="8"/>
  <c r="B4" i="8"/>
  <c r="G48" i="8" a="1"/>
  <c r="G48" i="8" s="1"/>
  <c r="F48" i="8" a="1"/>
  <c r="F48" i="8" s="1"/>
  <c r="E48" i="8" a="1"/>
  <c r="E48" i="8" s="1"/>
  <c r="D48" i="8" a="1"/>
  <c r="D48" i="8" s="1"/>
  <c r="C48" i="8" a="1"/>
  <c r="C48" i="8" s="1"/>
  <c r="B48" i="8" a="1"/>
  <c r="B48" i="8" s="1"/>
  <c r="A48" i="8" a="1"/>
  <c r="A48" i="8" s="1"/>
  <c r="G47" i="8" a="1"/>
  <c r="G47" i="8" s="1"/>
  <c r="F47" i="8" a="1"/>
  <c r="F47" i="8" s="1"/>
  <c r="E47" i="8" a="1"/>
  <c r="E47" i="8" s="1"/>
  <c r="D47" i="8" a="1"/>
  <c r="D47" i="8" s="1"/>
  <c r="C47" i="8" a="1"/>
  <c r="C47" i="8" s="1"/>
  <c r="B47" i="8" a="1"/>
  <c r="B47" i="8" s="1"/>
  <c r="A47" i="8" a="1"/>
  <c r="A47" i="8" s="1"/>
  <c r="G46" i="8" a="1"/>
  <c r="G46" i="8" s="1"/>
  <c r="F46" i="8" a="1"/>
  <c r="F46" i="8" s="1"/>
  <c r="E46" i="8" a="1"/>
  <c r="E46" i="8" s="1"/>
  <c r="D46" i="8" a="1"/>
  <c r="D46" i="8" s="1"/>
  <c r="C46" i="8" a="1"/>
  <c r="C46" i="8" s="1"/>
  <c r="B46" i="8" a="1"/>
  <c r="B46" i="8" s="1"/>
  <c r="A46" i="8" a="1"/>
  <c r="A46" i="8" s="1"/>
  <c r="G45" i="8" a="1"/>
  <c r="G45" i="8" s="1"/>
  <c r="F45" i="8" a="1"/>
  <c r="F45" i="8" s="1"/>
  <c r="E45" i="8" a="1"/>
  <c r="E45" i="8" s="1"/>
  <c r="D45" i="8" a="1"/>
  <c r="D45" i="8" s="1"/>
  <c r="C45" i="8" a="1"/>
  <c r="C45" i="8" s="1"/>
  <c r="B45" i="8" a="1"/>
  <c r="B45" i="8" s="1"/>
  <c r="A45" i="8" a="1"/>
  <c r="A45" i="8" s="1"/>
  <c r="G44" i="8" a="1"/>
  <c r="G44" i="8" s="1"/>
  <c r="F44" i="8" a="1"/>
  <c r="F44" i="8" s="1"/>
  <c r="E44" i="8" a="1"/>
  <c r="E44" i="8" s="1"/>
  <c r="D44" i="8" a="1"/>
  <c r="D44" i="8" s="1"/>
  <c r="C44" i="8" a="1"/>
  <c r="C44" i="8" s="1"/>
  <c r="B44" i="8" a="1"/>
  <c r="B44" i="8" s="1"/>
  <c r="A44" i="8" a="1"/>
  <c r="A44" i="8" s="1"/>
  <c r="G43" i="8" a="1"/>
  <c r="G43" i="8" s="1"/>
  <c r="F43" i="8" a="1"/>
  <c r="F43" i="8" s="1"/>
  <c r="E43" i="8" a="1"/>
  <c r="E43" i="8" s="1"/>
  <c r="D43" i="8" a="1"/>
  <c r="D43" i="8" s="1"/>
  <c r="C43" i="8" a="1"/>
  <c r="C43" i="8" s="1"/>
  <c r="B43" i="8" a="1"/>
  <c r="B43" i="8" s="1"/>
  <c r="A43" i="8" a="1"/>
  <c r="A43" i="8" s="1"/>
  <c r="G42" i="8" a="1"/>
  <c r="G42" i="8" s="1"/>
  <c r="F42" i="8" a="1"/>
  <c r="F42" i="8" s="1"/>
  <c r="E42" i="8" a="1"/>
  <c r="E42" i="8" s="1"/>
  <c r="D42" i="8" a="1"/>
  <c r="D42" i="8" s="1"/>
  <c r="C42" i="8" a="1"/>
  <c r="C42" i="8" s="1"/>
  <c r="B42" i="8" a="1"/>
  <c r="B42" i="8" s="1"/>
  <c r="A42" i="8" a="1"/>
  <c r="A42" i="8" s="1"/>
  <c r="G41" i="8" a="1"/>
  <c r="G41" i="8" s="1"/>
  <c r="F41" i="8" a="1"/>
  <c r="F41" i="8" s="1"/>
  <c r="E41" i="8" a="1"/>
  <c r="E41" i="8" s="1"/>
  <c r="D41" i="8" a="1"/>
  <c r="D41" i="8" s="1"/>
  <c r="C41" i="8" a="1"/>
  <c r="C41" i="8" s="1"/>
  <c r="B41" i="8" a="1"/>
  <c r="B41" i="8" s="1"/>
  <c r="A41" i="8" a="1"/>
  <c r="A41" i="8" s="1"/>
  <c r="G40" i="8" a="1"/>
  <c r="G40" i="8" s="1"/>
  <c r="F40" i="8" a="1"/>
  <c r="F40" i="8" s="1"/>
  <c r="E40" i="8" a="1"/>
  <c r="E40" i="8" s="1"/>
  <c r="D40" i="8" a="1"/>
  <c r="D40" i="8" s="1"/>
  <c r="C40" i="8" a="1"/>
  <c r="C40" i="8" s="1"/>
  <c r="B40" i="8" a="1"/>
  <c r="B40" i="8" s="1"/>
  <c r="A40" i="8" a="1"/>
  <c r="A40" i="8" s="1"/>
  <c r="G39" i="8" a="1"/>
  <c r="G39" i="8" s="1"/>
  <c r="F39" i="8" a="1"/>
  <c r="F39" i="8" s="1"/>
  <c r="E39" i="8" a="1"/>
  <c r="E39" i="8" s="1"/>
  <c r="D39" i="8" a="1"/>
  <c r="D39" i="8" s="1"/>
  <c r="C39" i="8" a="1"/>
  <c r="C39" i="8" s="1"/>
  <c r="B39" i="8" a="1"/>
  <c r="B39" i="8" s="1"/>
  <c r="A39" i="8" a="1"/>
  <c r="A39" i="8" s="1"/>
  <c r="G38" i="8" a="1"/>
  <c r="G38" i="8" s="1"/>
  <c r="F38" i="8" a="1"/>
  <c r="F38" i="8" s="1"/>
  <c r="E38" i="8" a="1"/>
  <c r="E38" i="8" s="1"/>
  <c r="D38" i="8" a="1"/>
  <c r="D38" i="8" s="1"/>
  <c r="C38" i="8" a="1"/>
  <c r="C38" i="8" s="1"/>
  <c r="B38" i="8" a="1"/>
  <c r="B38" i="8" s="1"/>
  <c r="A38" i="8" a="1"/>
  <c r="A38" i="8" s="1"/>
  <c r="G37" i="8" a="1"/>
  <c r="G37" i="8" s="1"/>
  <c r="F37" i="8" a="1"/>
  <c r="F37" i="8" s="1"/>
  <c r="E37" i="8" a="1"/>
  <c r="E37" i="8" s="1"/>
  <c r="D37" i="8" a="1"/>
  <c r="D37" i="8" s="1"/>
  <c r="C37" i="8" a="1"/>
  <c r="C37" i="8" s="1"/>
  <c r="B37" i="8" a="1"/>
  <c r="B37" i="8" s="1"/>
  <c r="A37" i="8" a="1"/>
  <c r="A37" i="8" s="1"/>
  <c r="G36" i="8" a="1"/>
  <c r="G36" i="8" s="1"/>
  <c r="F36" i="8" a="1"/>
  <c r="F36" i="8" s="1"/>
  <c r="E36" i="8" a="1"/>
  <c r="E36" i="8" s="1"/>
  <c r="D36" i="8" a="1"/>
  <c r="D36" i="8" s="1"/>
  <c r="C36" i="8" a="1"/>
  <c r="C36" i="8" s="1"/>
  <c r="B36" i="8" a="1"/>
  <c r="B36" i="8" s="1"/>
  <c r="A36" i="8" a="1"/>
  <c r="A36" i="8" s="1"/>
  <c r="G35" i="8" a="1"/>
  <c r="G35" i="8" s="1"/>
  <c r="F35" i="8" a="1"/>
  <c r="F35" i="8" s="1"/>
  <c r="E35" i="8" a="1"/>
  <c r="E35" i="8" s="1"/>
  <c r="D35" i="8" a="1"/>
  <c r="D35" i="8" s="1"/>
  <c r="C35" i="8" a="1"/>
  <c r="C35" i="8" s="1"/>
  <c r="B35" i="8" a="1"/>
  <c r="B35" i="8" s="1"/>
  <c r="A35" i="8" a="1"/>
  <c r="A35" i="8" s="1"/>
  <c r="G34" i="8" a="1"/>
  <c r="G34" i="8" s="1"/>
  <c r="F34" i="8" a="1"/>
  <c r="F34" i="8" s="1"/>
  <c r="E34" i="8" a="1"/>
  <c r="E34" i="8" s="1"/>
  <c r="D34" i="8" a="1"/>
  <c r="D34" i="8" s="1"/>
  <c r="C34" i="8" a="1"/>
  <c r="C34" i="8" s="1"/>
  <c r="B34" i="8" a="1"/>
  <c r="B34" i="8" s="1"/>
  <c r="A34" i="8" a="1"/>
  <c r="A34" i="8" s="1"/>
  <c r="G33" i="8" a="1"/>
  <c r="G33" i="8" s="1"/>
  <c r="F33" i="8" a="1"/>
  <c r="F33" i="8" s="1"/>
  <c r="E33" i="8" a="1"/>
  <c r="E33" i="8" s="1"/>
  <c r="D33" i="8" a="1"/>
  <c r="D33" i="8" s="1"/>
  <c r="C33" i="8" a="1"/>
  <c r="C33" i="8" s="1"/>
  <c r="B33" i="8" a="1"/>
  <c r="B33" i="8" s="1"/>
  <c r="A33" i="8" a="1"/>
  <c r="A33" i="8" s="1"/>
  <c r="G32" i="8" a="1"/>
  <c r="G32" i="8" s="1"/>
  <c r="F32" i="8" a="1"/>
  <c r="F32" i="8" s="1"/>
  <c r="E32" i="8" a="1"/>
  <c r="E32" i="8" s="1"/>
  <c r="D32" i="8" a="1"/>
  <c r="D32" i="8" s="1"/>
  <c r="C32" i="8" a="1"/>
  <c r="C32" i="8" s="1"/>
  <c r="B32" i="8" a="1"/>
  <c r="B32" i="8" s="1"/>
  <c r="A32" i="8" a="1"/>
  <c r="A32" i="8" s="1"/>
  <c r="G31" i="8" a="1"/>
  <c r="G31" i="8" s="1"/>
  <c r="F31" i="8" a="1"/>
  <c r="F31" i="8" s="1"/>
  <c r="E31" i="8" a="1"/>
  <c r="E31" i="8" s="1"/>
  <c r="D31" i="8" a="1"/>
  <c r="D31" i="8" s="1"/>
  <c r="C31" i="8" a="1"/>
  <c r="C31" i="8" s="1"/>
  <c r="B31" i="8" a="1"/>
  <c r="B31" i="8" s="1"/>
  <c r="A31" i="8" a="1"/>
  <c r="A31" i="8" s="1"/>
  <c r="G30" i="8" a="1"/>
  <c r="G30" i="8" s="1"/>
  <c r="F30" i="8" a="1"/>
  <c r="F30" i="8" s="1"/>
  <c r="E30" i="8" a="1"/>
  <c r="E30" i="8" s="1"/>
  <c r="D30" i="8" a="1"/>
  <c r="D30" i="8" s="1"/>
  <c r="C30" i="8" a="1"/>
  <c r="C30" i="8" s="1"/>
  <c r="B30" i="8" a="1"/>
  <c r="B30" i="8" s="1"/>
  <c r="A30" i="8" a="1"/>
  <c r="A30" i="8" s="1"/>
  <c r="G29" i="8" a="1"/>
  <c r="G29" i="8" s="1"/>
  <c r="F29" i="8" a="1"/>
  <c r="F29" i="8" s="1"/>
  <c r="E29" i="8" a="1"/>
  <c r="E29" i="8" s="1"/>
  <c r="D29" i="8" a="1"/>
  <c r="D29" i="8" s="1"/>
  <c r="C29" i="8" a="1"/>
  <c r="C29" i="8" s="1"/>
  <c r="B29" i="8" a="1"/>
  <c r="B29" i="8" s="1"/>
  <c r="A29" i="8" a="1"/>
  <c r="A29" i="8" s="1"/>
  <c r="G28" i="8" a="1"/>
  <c r="G28" i="8" s="1"/>
  <c r="F28" i="8" a="1"/>
  <c r="F28" i="8" s="1"/>
  <c r="E28" i="8" a="1"/>
  <c r="E28" i="8" s="1"/>
  <c r="D28" i="8" a="1"/>
  <c r="D28" i="8" s="1"/>
  <c r="C28" i="8" a="1"/>
  <c r="C28" i="8" s="1"/>
  <c r="B28" i="8" a="1"/>
  <c r="B28" i="8" s="1"/>
  <c r="A28" i="8" a="1"/>
  <c r="A28" i="8" s="1"/>
  <c r="G27" i="8" a="1"/>
  <c r="G27" i="8" s="1"/>
  <c r="F27" i="8" a="1"/>
  <c r="F27" i="8" s="1"/>
  <c r="E27" i="8" a="1"/>
  <c r="E27" i="8" s="1"/>
  <c r="D27" i="8" a="1"/>
  <c r="D27" i="8" s="1"/>
  <c r="C27" i="8" a="1"/>
  <c r="C27" i="8" s="1"/>
  <c r="B27" i="8" a="1"/>
  <c r="B27" i="8" s="1"/>
  <c r="A27" i="8" a="1"/>
  <c r="A27" i="8" s="1"/>
  <c r="G26" i="8" a="1"/>
  <c r="G26" i="8" s="1"/>
  <c r="F26" i="8" a="1"/>
  <c r="F26" i="8" s="1"/>
  <c r="E26" i="8" a="1"/>
  <c r="E26" i="8" s="1"/>
  <c r="D26" i="8" a="1"/>
  <c r="D26" i="8" s="1"/>
  <c r="C26" i="8" a="1"/>
  <c r="C26" i="8" s="1"/>
  <c r="B26" i="8" a="1"/>
  <c r="B26" i="8" s="1"/>
  <c r="A26" i="8" a="1"/>
  <c r="A26" i="8" s="1"/>
  <c r="G25" i="8" a="1"/>
  <c r="G25" i="8" s="1"/>
  <c r="F25" i="8" a="1"/>
  <c r="F25" i="8" s="1"/>
  <c r="E25" i="8" a="1"/>
  <c r="E25" i="8" s="1"/>
  <c r="D25" i="8" a="1"/>
  <c r="D25" i="8" s="1"/>
  <c r="C25" i="8" a="1"/>
  <c r="C25" i="8" s="1"/>
  <c r="B25" i="8" a="1"/>
  <c r="B25" i="8" s="1"/>
  <c r="A25" i="8" a="1"/>
  <c r="A25" i="8" s="1"/>
  <c r="G24" i="8" a="1"/>
  <c r="G24" i="8" s="1"/>
  <c r="F24" i="8" a="1"/>
  <c r="F24" i="8" s="1"/>
  <c r="E24" i="8" a="1"/>
  <c r="E24" i="8" s="1"/>
  <c r="D24" i="8" a="1"/>
  <c r="D24" i="8" s="1"/>
  <c r="C24" i="8" a="1"/>
  <c r="C24" i="8" s="1"/>
  <c r="B24" i="8" a="1"/>
  <c r="B24" i="8" s="1"/>
  <c r="A24" i="8" a="1"/>
  <c r="A24" i="8" s="1"/>
  <c r="G23" i="8" a="1"/>
  <c r="G23" i="8" s="1"/>
  <c r="F23" i="8" a="1"/>
  <c r="F23" i="8" s="1"/>
  <c r="E23" i="8" a="1"/>
  <c r="E23" i="8" s="1"/>
  <c r="D23" i="8" a="1"/>
  <c r="D23" i="8" s="1"/>
  <c r="C23" i="8" a="1"/>
  <c r="C23" i="8" s="1"/>
  <c r="B23" i="8" a="1"/>
  <c r="B23" i="8" s="1"/>
  <c r="A23" i="8" a="1"/>
  <c r="A23" i="8" s="1"/>
  <c r="G22" i="8" a="1"/>
  <c r="G22" i="8" s="1"/>
  <c r="F22" i="8" a="1"/>
  <c r="F22" i="8" s="1"/>
  <c r="E22" i="8" a="1"/>
  <c r="E22" i="8" s="1"/>
  <c r="D22" i="8" a="1"/>
  <c r="D22" i="8" s="1"/>
  <c r="C22" i="8" a="1"/>
  <c r="C22" i="8" s="1"/>
  <c r="B22" i="8" a="1"/>
  <c r="B22" i="8" s="1"/>
  <c r="A22" i="8" a="1"/>
  <c r="A22" i="8" s="1"/>
  <c r="G21" i="8" a="1"/>
  <c r="G21" i="8" s="1"/>
  <c r="F21" i="8" a="1"/>
  <c r="F21" i="8" s="1"/>
  <c r="E21" i="8" a="1"/>
  <c r="E21" i="8" s="1"/>
  <c r="D21" i="8" a="1"/>
  <c r="D21" i="8" s="1"/>
  <c r="C21" i="8" a="1"/>
  <c r="C21" i="8" s="1"/>
  <c r="B21" i="8" a="1"/>
  <c r="B21" i="8" s="1"/>
  <c r="A21" i="8" a="1"/>
  <c r="A21" i="8" s="1"/>
  <c r="G20" i="8" a="1"/>
  <c r="G20" i="8" s="1"/>
  <c r="F20" i="8" a="1"/>
  <c r="F20" i="8" s="1"/>
  <c r="E20" i="8" a="1"/>
  <c r="E20" i="8" s="1"/>
  <c r="D20" i="8" a="1"/>
  <c r="D20" i="8" s="1"/>
  <c r="C20" i="8" a="1"/>
  <c r="C20" i="8" s="1"/>
  <c r="B20" i="8" a="1"/>
  <c r="B20" i="8" s="1"/>
  <c r="A20" i="8" a="1"/>
  <c r="A20" i="8" s="1"/>
  <c r="G19" i="8" a="1"/>
  <c r="G19" i="8" s="1"/>
  <c r="F19" i="8" a="1"/>
  <c r="F19" i="8" s="1"/>
  <c r="E19" i="8" a="1"/>
  <c r="E19" i="8" s="1"/>
  <c r="D19" i="8" a="1"/>
  <c r="D19" i="8" s="1"/>
  <c r="C19" i="8" a="1"/>
  <c r="C19" i="8" s="1"/>
  <c r="B19" i="8" a="1"/>
  <c r="B19" i="8" s="1"/>
  <c r="A19" i="8" a="1"/>
  <c r="A19" i="8" s="1"/>
  <c r="G18" i="8" a="1"/>
  <c r="G18" i="8" s="1"/>
  <c r="F18" i="8" a="1"/>
  <c r="F18" i="8" s="1"/>
  <c r="E18" i="8" a="1"/>
  <c r="E18" i="8" s="1"/>
  <c r="D18" i="8" a="1"/>
  <c r="D18" i="8" s="1"/>
  <c r="C18" i="8" a="1"/>
  <c r="C18" i="8" s="1"/>
  <c r="B18" i="8" a="1"/>
  <c r="B18" i="8" s="1"/>
  <c r="A18" i="8" a="1"/>
  <c r="A18" i="8" s="1"/>
  <c r="G17" i="8" a="1"/>
  <c r="G17" i="8" s="1"/>
  <c r="F17" i="8" a="1"/>
  <c r="F17" i="8" s="1"/>
  <c r="E17" i="8" a="1"/>
  <c r="E17" i="8" s="1"/>
  <c r="D17" i="8" a="1"/>
  <c r="D17" i="8" s="1"/>
  <c r="C17" i="8" a="1"/>
  <c r="C17" i="8" s="1"/>
  <c r="B17" i="8" a="1"/>
  <c r="B17" i="8" s="1"/>
  <c r="A17" i="8" a="1"/>
  <c r="A17" i="8" s="1"/>
  <c r="G16" i="8" a="1"/>
  <c r="G16" i="8" s="1"/>
  <c r="F16" i="8" a="1"/>
  <c r="F16" i="8" s="1"/>
  <c r="E16" i="8" a="1"/>
  <c r="E16" i="8" s="1"/>
  <c r="D16" i="8" a="1"/>
  <c r="D16" i="8" s="1"/>
  <c r="C16" i="8" a="1"/>
  <c r="C16" i="8" s="1"/>
  <c r="B16" i="8" a="1"/>
  <c r="B16" i="8" s="1"/>
  <c r="A16" i="8" a="1"/>
  <c r="A16" i="8" s="1"/>
  <c r="G15" i="8" a="1"/>
  <c r="G15" i="8" s="1"/>
  <c r="F15" i="8" a="1"/>
  <c r="F15" i="8" s="1"/>
  <c r="E15" i="8" a="1"/>
  <c r="E15" i="8" s="1"/>
  <c r="D15" i="8" a="1"/>
  <c r="D15" i="8" s="1"/>
  <c r="C15" i="8" a="1"/>
  <c r="C15" i="8" s="1"/>
  <c r="B15" i="8" a="1"/>
  <c r="B15" i="8" s="1"/>
  <c r="A15" i="8" a="1"/>
  <c r="A15" i="8" s="1"/>
  <c r="G14" i="8" a="1"/>
  <c r="G14" i="8" s="1"/>
  <c r="F14" i="8" a="1"/>
  <c r="F14" i="8" s="1"/>
  <c r="E14" i="8" a="1"/>
  <c r="E14" i="8" s="1"/>
  <c r="D14" i="8" a="1"/>
  <c r="D14" i="8" s="1"/>
  <c r="C14" i="8" a="1"/>
  <c r="C14" i="8" s="1"/>
  <c r="B14" i="8" a="1"/>
  <c r="B14" i="8" s="1"/>
  <c r="A14" i="8" a="1"/>
  <c r="A14" i="8" s="1"/>
  <c r="G13" i="8" a="1"/>
  <c r="G13" i="8" s="1"/>
  <c r="F13" i="8" a="1"/>
  <c r="F13" i="8" s="1"/>
  <c r="E13" i="8" a="1"/>
  <c r="E13" i="8" s="1"/>
  <c r="D13" i="8" a="1"/>
  <c r="D13" i="8" s="1"/>
  <c r="C13" i="8" a="1"/>
  <c r="C13" i="8" s="1"/>
  <c r="B13" i="8" a="1"/>
  <c r="B13" i="8" s="1"/>
  <c r="A13" i="8" a="1"/>
  <c r="A13" i="8" s="1"/>
  <c r="G12" i="8" a="1"/>
  <c r="G12" i="8" s="1"/>
  <c r="F12" i="8" a="1"/>
  <c r="F12" i="8" s="1"/>
  <c r="E12" i="8" a="1"/>
  <c r="E12" i="8" s="1"/>
  <c r="D12" i="8" a="1"/>
  <c r="D12" i="8" s="1"/>
  <c r="C12" i="8" a="1"/>
  <c r="C12" i="8" s="1"/>
  <c r="B12" i="8" a="1"/>
  <c r="B12" i="8" s="1"/>
  <c r="A12" i="8" a="1"/>
  <c r="A12" i="8" s="1"/>
  <c r="G11" i="8" a="1"/>
  <c r="G11" i="8" s="1"/>
  <c r="F11" i="8" a="1"/>
  <c r="F11" i="8" s="1"/>
  <c r="E11" i="8" a="1"/>
  <c r="E11" i="8" s="1"/>
  <c r="D11" i="8" a="1"/>
  <c r="D11" i="8" s="1"/>
  <c r="C11" i="8" a="1"/>
  <c r="C11" i="8" s="1"/>
  <c r="B11" i="8" a="1"/>
  <c r="B11" i="8" s="1"/>
  <c r="A11" i="8" a="1"/>
  <c r="A11" i="8" s="1"/>
  <c r="G10" i="8" a="1"/>
  <c r="G10" i="8" s="1"/>
  <c r="F10" i="8" a="1"/>
  <c r="F10" i="8" s="1"/>
  <c r="E10" i="8" a="1"/>
  <c r="E10" i="8" s="1"/>
  <c r="D10" i="8" a="1"/>
  <c r="D10" i="8" s="1"/>
  <c r="C10" i="8" a="1"/>
  <c r="C10" i="8" s="1"/>
  <c r="B10" i="8" a="1"/>
  <c r="B10" i="8" s="1"/>
  <c r="A10" i="8" a="1"/>
  <c r="A10" i="8" s="1"/>
  <c r="G9" i="8" a="1"/>
  <c r="G9" i="8" s="1"/>
  <c r="F9" i="8" a="1"/>
  <c r="F9" i="8" s="1"/>
  <c r="E9" i="8" a="1"/>
  <c r="E9" i="8" s="1"/>
  <c r="D9" i="8" a="1"/>
  <c r="D9" i="8" s="1"/>
  <c r="C9" i="8" a="1"/>
  <c r="C9" i="8" s="1"/>
  <c r="B9" i="8" a="1"/>
  <c r="B9" i="8" s="1"/>
  <c r="A9" i="8" a="1"/>
  <c r="A9" i="8" s="1"/>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I8" i="5"/>
  <c r="I7" i="5"/>
  <c r="E3" i="1"/>
  <c r="E4" i="1"/>
  <c r="E5" i="1"/>
  <c r="E6" i="1"/>
  <c r="E7" i="1"/>
  <c r="E8" i="1"/>
  <c r="E9" i="1"/>
  <c r="E10" i="1"/>
  <c r="E11" i="1"/>
  <c r="E12" i="1"/>
  <c r="E13" i="1"/>
  <c r="E2" i="1"/>
  <c r="K30" i="9" l="1" a="1"/>
  <c r="K30" i="9" s="1"/>
  <c r="G11" i="9" a="1"/>
  <c r="G11" i="9" s="1"/>
  <c r="B7" i="9" a="1"/>
  <c r="B7" i="9" s="1"/>
  <c r="C11" i="9" a="1"/>
  <c r="C11" i="9" s="1"/>
  <c r="G12" i="9" a="1"/>
  <c r="G12" i="9" s="1"/>
  <c r="K28" i="9" a="1"/>
  <c r="K28" i="9" s="1"/>
  <c r="C7" i="9" a="1"/>
  <c r="C7" i="9" s="1"/>
  <c r="C12" i="9" a="1"/>
  <c r="C12" i="9" s="1"/>
  <c r="G13" i="9" a="1"/>
  <c r="G13" i="9" s="1"/>
  <c r="I29" i="9" a="1"/>
  <c r="I29" i="9" s="1"/>
  <c r="C6" i="9" a="1"/>
  <c r="C6" i="9" s="1"/>
  <c r="D7" i="9" a="1"/>
  <c r="D7" i="9" s="1"/>
  <c r="C13" i="9" a="1"/>
  <c r="C13" i="9" s="1"/>
  <c r="G14" i="9" a="1"/>
  <c r="G14" i="9" s="1"/>
  <c r="D6" i="9" a="1"/>
  <c r="D6" i="9" s="1"/>
  <c r="E11" i="9" a="1"/>
  <c r="E11" i="9" s="1"/>
  <c r="I27" i="9" a="1"/>
  <c r="I27" i="9" s="1"/>
  <c r="K29" i="9" a="1"/>
  <c r="K29" i="9" s="1"/>
  <c r="E12" i="9" a="1"/>
  <c r="E12" i="9" s="1"/>
  <c r="I30" i="9" a="1"/>
  <c r="I30" i="9" s="1"/>
  <c r="G6" i="9" a="1"/>
  <c r="G6" i="9" s="1"/>
  <c r="G7" i="9" a="1"/>
  <c r="G7" i="9" s="1"/>
  <c r="E13" i="9" a="1"/>
  <c r="E13" i="9" s="1"/>
  <c r="K27" i="9" a="1"/>
  <c r="K27" i="9" s="1"/>
  <c r="B6" i="9" a="1"/>
  <c r="B6" i="9" s="1"/>
  <c r="E14" i="9" a="1"/>
  <c r="E14" i="9" s="1"/>
  <c r="I28" i="9" a="1"/>
  <c r="I28" i="9" s="1"/>
  <c r="J38" i="8"/>
  <c r="I42" i="8"/>
  <c r="I16" i="8"/>
  <c r="I44" i="8"/>
  <c r="I43" i="8"/>
  <c r="J9" i="8"/>
  <c r="L20" i="8"/>
  <c r="M28" i="8"/>
  <c r="L36" i="8"/>
  <c r="AW19" i="8"/>
  <c r="X27" i="8"/>
  <c r="R35" i="8"/>
  <c r="AO18" i="8"/>
  <c r="Q26" i="8"/>
  <c r="L34" i="8"/>
  <c r="Q17" i="8"/>
  <c r="AK25" i="8"/>
  <c r="S33" i="8"/>
  <c r="L41" i="8"/>
  <c r="AB24" i="8"/>
  <c r="U32" i="8"/>
  <c r="Q40" i="8"/>
  <c r="N15" i="8"/>
  <c r="L23" i="8"/>
  <c r="Z31" i="8"/>
  <c r="M39" i="8"/>
  <c r="AL22" i="8"/>
  <c r="AA30" i="8"/>
  <c r="H14" i="8"/>
  <c r="P14" i="8"/>
  <c r="X14" i="8"/>
  <c r="AF14" i="8"/>
  <c r="AN14" i="8"/>
  <c r="AV14" i="8"/>
  <c r="J14" i="8"/>
  <c r="R14" i="8"/>
  <c r="Z14" i="8"/>
  <c r="AH14" i="8"/>
  <c r="AP14" i="8"/>
  <c r="AX14" i="8"/>
  <c r="M14" i="8"/>
  <c r="W14" i="8"/>
  <c r="AI14" i="8"/>
  <c r="AS14" i="8"/>
  <c r="BC14" i="8"/>
  <c r="N14" i="8"/>
  <c r="Y14" i="8"/>
  <c r="AJ14" i="8"/>
  <c r="AT14" i="8"/>
  <c r="O14" i="8"/>
  <c r="AA14" i="8"/>
  <c r="AK14" i="8"/>
  <c r="AU14" i="8"/>
  <c r="Q14" i="8"/>
  <c r="AB14" i="8"/>
  <c r="AL14" i="8"/>
  <c r="AW14" i="8"/>
  <c r="S14" i="8"/>
  <c r="AC14" i="8"/>
  <c r="AM14" i="8"/>
  <c r="AY14" i="8"/>
  <c r="K14" i="8"/>
  <c r="U14" i="8"/>
  <c r="AE14" i="8"/>
  <c r="AQ14" i="8"/>
  <c r="BA14" i="8"/>
  <c r="AO14" i="8"/>
  <c r="AR14" i="8"/>
  <c r="I14" i="8"/>
  <c r="AZ14" i="8"/>
  <c r="L14" i="8"/>
  <c r="BB14" i="8"/>
  <c r="V14" i="8"/>
  <c r="AD14" i="8"/>
  <c r="H13" i="8"/>
  <c r="P13" i="8"/>
  <c r="X13" i="8"/>
  <c r="AF13" i="8"/>
  <c r="AN13" i="8"/>
  <c r="AV13" i="8"/>
  <c r="J13" i="8"/>
  <c r="R13" i="8"/>
  <c r="Z13" i="8"/>
  <c r="AH13" i="8"/>
  <c r="AP13" i="8"/>
  <c r="AX13" i="8"/>
  <c r="S13" i="8"/>
  <c r="AC13" i="8"/>
  <c r="AM13" i="8"/>
  <c r="AY13" i="8"/>
  <c r="I13" i="8"/>
  <c r="T13" i="8"/>
  <c r="AD13" i="8"/>
  <c r="AO13" i="8"/>
  <c r="AZ13" i="8"/>
  <c r="K13" i="8"/>
  <c r="U13" i="8"/>
  <c r="AE13" i="8"/>
  <c r="AQ13" i="8"/>
  <c r="BA13" i="8"/>
  <c r="L13" i="8"/>
  <c r="V13" i="8"/>
  <c r="AG13" i="8"/>
  <c r="AR13" i="8"/>
  <c r="BB13" i="8"/>
  <c r="M13" i="8"/>
  <c r="W13" i="8"/>
  <c r="AI13" i="8"/>
  <c r="AS13" i="8"/>
  <c r="BC13" i="8"/>
  <c r="O13" i="8"/>
  <c r="AA13" i="8"/>
  <c r="AK13" i="8"/>
  <c r="AU13" i="8"/>
  <c r="AT13" i="8"/>
  <c r="AW13" i="8"/>
  <c r="N13" i="8"/>
  <c r="Q13" i="8"/>
  <c r="AB13" i="8"/>
  <c r="AJ13" i="8"/>
  <c r="H21" i="8"/>
  <c r="P21" i="8"/>
  <c r="X21" i="8"/>
  <c r="AF21" i="8"/>
  <c r="AN21" i="8"/>
  <c r="AV21" i="8"/>
  <c r="J21" i="8"/>
  <c r="R21" i="8"/>
  <c r="Z21" i="8"/>
  <c r="AH21" i="8"/>
  <c r="AP21" i="8"/>
  <c r="AX21" i="8"/>
  <c r="S21" i="8"/>
  <c r="AC21" i="8"/>
  <c r="AM21" i="8"/>
  <c r="AY21" i="8"/>
  <c r="I21" i="8"/>
  <c r="T21" i="8"/>
  <c r="AD21" i="8"/>
  <c r="AO21" i="8"/>
  <c r="AZ21" i="8"/>
  <c r="K21" i="8"/>
  <c r="U21" i="8"/>
  <c r="AE21" i="8"/>
  <c r="AQ21" i="8"/>
  <c r="BA21" i="8"/>
  <c r="L21" i="8"/>
  <c r="O21" i="8"/>
  <c r="AA21" i="8"/>
  <c r="AK21" i="8"/>
  <c r="AU21" i="8"/>
  <c r="W21" i="8"/>
  <c r="AS21" i="8"/>
  <c r="Y21" i="8"/>
  <c r="AT21" i="8"/>
  <c r="AB21" i="8"/>
  <c r="AW21" i="8"/>
  <c r="AG21" i="8"/>
  <c r="BB21" i="8"/>
  <c r="N21" i="8"/>
  <c r="AJ21" i="8"/>
  <c r="Q21" i="8"/>
  <c r="AL21" i="8"/>
  <c r="N29" i="8"/>
  <c r="V29" i="8"/>
  <c r="AD29" i="8"/>
  <c r="AL29" i="8"/>
  <c r="AT29" i="8"/>
  <c r="BB29" i="8"/>
  <c r="O29" i="8"/>
  <c r="W29" i="8"/>
  <c r="AE29" i="8"/>
  <c r="AM29" i="8"/>
  <c r="AU29" i="8"/>
  <c r="BC29" i="8"/>
  <c r="H29" i="8"/>
  <c r="P29" i="8"/>
  <c r="X29" i="8"/>
  <c r="AF29" i="8"/>
  <c r="AN29" i="8"/>
  <c r="AV29" i="8"/>
  <c r="I29" i="8"/>
  <c r="Q29" i="8"/>
  <c r="Y29" i="8"/>
  <c r="AG29" i="8"/>
  <c r="AO29" i="8"/>
  <c r="AW29" i="8"/>
  <c r="K29" i="8"/>
  <c r="S29" i="8"/>
  <c r="L29" i="8"/>
  <c r="T29" i="8"/>
  <c r="AB29" i="8"/>
  <c r="AJ29" i="8"/>
  <c r="AR29" i="8"/>
  <c r="AZ29" i="8"/>
  <c r="N37" i="8"/>
  <c r="V37" i="8"/>
  <c r="AD37" i="8"/>
  <c r="AL37" i="8"/>
  <c r="AT37" i="8"/>
  <c r="BB37" i="8"/>
  <c r="O37" i="8"/>
  <c r="W37" i="8"/>
  <c r="AE37" i="8"/>
  <c r="AM37" i="8"/>
  <c r="AU37" i="8"/>
  <c r="BC37" i="8"/>
  <c r="H37" i="8"/>
  <c r="P37" i="8"/>
  <c r="X37" i="8"/>
  <c r="AF37" i="8"/>
  <c r="AN37" i="8"/>
  <c r="AV37" i="8"/>
  <c r="AW9" i="8"/>
  <c r="AO9" i="8"/>
  <c r="AG9" i="8"/>
  <c r="Y9" i="8"/>
  <c r="Q9" i="8"/>
  <c r="I9" i="8"/>
  <c r="AV44" i="8"/>
  <c r="AN44" i="8"/>
  <c r="AF44" i="8"/>
  <c r="X44" i="8"/>
  <c r="P44" i="8"/>
  <c r="H44" i="8"/>
  <c r="AV43" i="8"/>
  <c r="AN43" i="8"/>
  <c r="AF43" i="8"/>
  <c r="X43" i="8"/>
  <c r="P43" i="8"/>
  <c r="H43" i="8"/>
  <c r="AV42" i="8"/>
  <c r="AN42" i="8"/>
  <c r="AF42" i="8"/>
  <c r="X42" i="8"/>
  <c r="P42" i="8"/>
  <c r="H42" i="8"/>
  <c r="AV41" i="8"/>
  <c r="AK41" i="8"/>
  <c r="AA41" i="8"/>
  <c r="Q41" i="8"/>
  <c r="BA40" i="8"/>
  <c r="AQ40" i="8"/>
  <c r="AG40" i="8"/>
  <c r="U40" i="8"/>
  <c r="K40" i="8"/>
  <c r="AW39" i="8"/>
  <c r="AI39" i="8"/>
  <c r="U39" i="8"/>
  <c r="J39" i="8"/>
  <c r="AR38" i="8"/>
  <c r="AG38" i="8"/>
  <c r="S38" i="8"/>
  <c r="BA37" i="8"/>
  <c r="AP37" i="8"/>
  <c r="AB37" i="8"/>
  <c r="Q37" i="8"/>
  <c r="AY36" i="8"/>
  <c r="AK36" i="8"/>
  <c r="Z36" i="8"/>
  <c r="AW35" i="8"/>
  <c r="AI35" i="8"/>
  <c r="S35" i="8"/>
  <c r="AY34" i="8"/>
  <c r="AI34" i="8"/>
  <c r="S34" i="8"/>
  <c r="AX33" i="8"/>
  <c r="AA33" i="8"/>
  <c r="BA32" i="8"/>
  <c r="AH32" i="8"/>
  <c r="K32" i="8"/>
  <c r="AK31" i="8"/>
  <c r="R31" i="8"/>
  <c r="AQ30" i="8"/>
  <c r="U30" i="8"/>
  <c r="AX29" i="8"/>
  <c r="AA29" i="8"/>
  <c r="AS28" i="8"/>
  <c r="AA27" i="8"/>
  <c r="AM26" i="8"/>
  <c r="AX25" i="8"/>
  <c r="H25" i="8"/>
  <c r="AU23" i="8"/>
  <c r="Q22" i="8"/>
  <c r="AL13" i="8"/>
  <c r="H12" i="8"/>
  <c r="P12" i="8"/>
  <c r="X12" i="8"/>
  <c r="AF12" i="8"/>
  <c r="AN12" i="8"/>
  <c r="AV12" i="8"/>
  <c r="J12" i="8"/>
  <c r="R12" i="8"/>
  <c r="Z12" i="8"/>
  <c r="AH12" i="8"/>
  <c r="AP12" i="8"/>
  <c r="AX12" i="8"/>
  <c r="M12" i="8"/>
  <c r="W12" i="8"/>
  <c r="AI12" i="8"/>
  <c r="AS12" i="8"/>
  <c r="BC12" i="8"/>
  <c r="N12" i="8"/>
  <c r="Y12" i="8"/>
  <c r="AJ12" i="8"/>
  <c r="AT12" i="8"/>
  <c r="O12" i="8"/>
  <c r="AA12" i="8"/>
  <c r="AK12" i="8"/>
  <c r="AU12" i="8"/>
  <c r="Q12" i="8"/>
  <c r="AB12" i="8"/>
  <c r="AL12" i="8"/>
  <c r="AW12" i="8"/>
  <c r="S12" i="8"/>
  <c r="AC12" i="8"/>
  <c r="AM12" i="8"/>
  <c r="AY12" i="8"/>
  <c r="K12" i="8"/>
  <c r="U12" i="8"/>
  <c r="AE12" i="8"/>
  <c r="AQ12" i="8"/>
  <c r="BA12" i="8"/>
  <c r="I12" i="8"/>
  <c r="AZ12" i="8"/>
  <c r="L12" i="8"/>
  <c r="BB12" i="8"/>
  <c r="T12" i="8"/>
  <c r="V12" i="8"/>
  <c r="AG12" i="8"/>
  <c r="AO12" i="8"/>
  <c r="H20" i="8"/>
  <c r="P20" i="8"/>
  <c r="X20" i="8"/>
  <c r="AF20" i="8"/>
  <c r="AN20" i="8"/>
  <c r="AV20" i="8"/>
  <c r="J20" i="8"/>
  <c r="R20" i="8"/>
  <c r="Z20" i="8"/>
  <c r="AH20" i="8"/>
  <c r="AP20" i="8"/>
  <c r="AX20" i="8"/>
  <c r="M20" i="8"/>
  <c r="W20" i="8"/>
  <c r="AI20" i="8"/>
  <c r="AS20" i="8"/>
  <c r="BC20" i="8"/>
  <c r="N20" i="8"/>
  <c r="Y20" i="8"/>
  <c r="AJ20" i="8"/>
  <c r="AT20" i="8"/>
  <c r="O20" i="8"/>
  <c r="AA20" i="8"/>
  <c r="AK20" i="8"/>
  <c r="AU20" i="8"/>
  <c r="Q20" i="8"/>
  <c r="AB20" i="8"/>
  <c r="AL20" i="8"/>
  <c r="AW20" i="8"/>
  <c r="K20" i="8"/>
  <c r="U20" i="8"/>
  <c r="AE20" i="8"/>
  <c r="AQ20" i="8"/>
  <c r="BA20" i="8"/>
  <c r="S20" i="8"/>
  <c r="AR20" i="8"/>
  <c r="T20" i="8"/>
  <c r="AY20" i="8"/>
  <c r="V20" i="8"/>
  <c r="AZ20" i="8"/>
  <c r="AC20" i="8"/>
  <c r="BB20" i="8"/>
  <c r="AG20" i="8"/>
  <c r="I20" i="8"/>
  <c r="AM20" i="8"/>
  <c r="N28" i="8"/>
  <c r="V28" i="8"/>
  <c r="AD28" i="8"/>
  <c r="AL28" i="8"/>
  <c r="AT28" i="8"/>
  <c r="BB28" i="8"/>
  <c r="O28" i="8"/>
  <c r="W28" i="8"/>
  <c r="AE28" i="8"/>
  <c r="AM28" i="8"/>
  <c r="AU28" i="8"/>
  <c r="BC28" i="8"/>
  <c r="H28" i="8"/>
  <c r="P28" i="8"/>
  <c r="X28" i="8"/>
  <c r="AF28" i="8"/>
  <c r="AN28" i="8"/>
  <c r="AV28" i="8"/>
  <c r="I28" i="8"/>
  <c r="Q28" i="8"/>
  <c r="Y28" i="8"/>
  <c r="AG28" i="8"/>
  <c r="AO28" i="8"/>
  <c r="AW28" i="8"/>
  <c r="K28" i="8"/>
  <c r="S28" i="8"/>
  <c r="AA28" i="8"/>
  <c r="AI28" i="8"/>
  <c r="AQ28" i="8"/>
  <c r="AY28" i="8"/>
  <c r="L28" i="8"/>
  <c r="T28" i="8"/>
  <c r="AB28" i="8"/>
  <c r="AJ28" i="8"/>
  <c r="AR28" i="8"/>
  <c r="AZ28" i="8"/>
  <c r="N36" i="8"/>
  <c r="V36" i="8"/>
  <c r="AD36" i="8"/>
  <c r="AL36" i="8"/>
  <c r="AT36" i="8"/>
  <c r="BB36" i="8"/>
  <c r="O36" i="8"/>
  <c r="W36" i="8"/>
  <c r="AE36" i="8"/>
  <c r="AM36" i="8"/>
  <c r="AU36" i="8"/>
  <c r="BC36" i="8"/>
  <c r="H36" i="8"/>
  <c r="P36" i="8"/>
  <c r="X36" i="8"/>
  <c r="AF36" i="8"/>
  <c r="AN36" i="8"/>
  <c r="AV36" i="8"/>
  <c r="H9" i="8"/>
  <c r="AV9" i="8"/>
  <c r="AN9" i="8"/>
  <c r="AF9" i="8"/>
  <c r="X9" i="8"/>
  <c r="P9" i="8"/>
  <c r="BC44" i="8"/>
  <c r="AU44" i="8"/>
  <c r="AM44" i="8"/>
  <c r="AE44" i="8"/>
  <c r="W44" i="8"/>
  <c r="O44" i="8"/>
  <c r="BC43" i="8"/>
  <c r="AU43" i="8"/>
  <c r="AM43" i="8"/>
  <c r="AE43" i="8"/>
  <c r="W43" i="8"/>
  <c r="O43" i="8"/>
  <c r="BC42" i="8"/>
  <c r="AU42" i="8"/>
  <c r="AM42" i="8"/>
  <c r="AE42" i="8"/>
  <c r="W42" i="8"/>
  <c r="O42" i="8"/>
  <c r="BC41" i="8"/>
  <c r="AU41" i="8"/>
  <c r="AJ41" i="8"/>
  <c r="Z41" i="8"/>
  <c r="O41" i="8"/>
  <c r="AZ40" i="8"/>
  <c r="AP40" i="8"/>
  <c r="AE40" i="8"/>
  <c r="T40" i="8"/>
  <c r="J40" i="8"/>
  <c r="AS39" i="8"/>
  <c r="AH39" i="8"/>
  <c r="T39" i="8"/>
  <c r="I39" i="8"/>
  <c r="AQ38" i="8"/>
  <c r="AC38" i="8"/>
  <c r="R38" i="8"/>
  <c r="AZ37" i="8"/>
  <c r="AO37" i="8"/>
  <c r="AA37" i="8"/>
  <c r="M37" i="8"/>
  <c r="AX36" i="8"/>
  <c r="AJ36" i="8"/>
  <c r="Y36" i="8"/>
  <c r="K36" i="8"/>
  <c r="AS35" i="8"/>
  <c r="AH35" i="8"/>
  <c r="AX34" i="8"/>
  <c r="AH34" i="8"/>
  <c r="R34" i="8"/>
  <c r="AS33" i="8"/>
  <c r="Z33" i="8"/>
  <c r="AY32" i="8"/>
  <c r="AC32" i="8"/>
  <c r="J32" i="8"/>
  <c r="AI31" i="8"/>
  <c r="M31" i="8"/>
  <c r="AP30" i="8"/>
  <c r="S30" i="8"/>
  <c r="AS29" i="8"/>
  <c r="Z29" i="8"/>
  <c r="AP28" i="8"/>
  <c r="J28" i="8"/>
  <c r="AI26" i="8"/>
  <c r="AU25" i="8"/>
  <c r="AX24" i="8"/>
  <c r="AR23" i="8"/>
  <c r="BC21" i="8"/>
  <c r="AZ16" i="8"/>
  <c r="Y13" i="8"/>
  <c r="H11" i="8"/>
  <c r="P11" i="8"/>
  <c r="X11" i="8"/>
  <c r="AF11" i="8"/>
  <c r="AN11" i="8"/>
  <c r="AV11" i="8"/>
  <c r="J11" i="8"/>
  <c r="R11" i="8"/>
  <c r="Z11" i="8"/>
  <c r="AH11" i="8"/>
  <c r="AP11" i="8"/>
  <c r="AX11" i="8"/>
  <c r="S11" i="8"/>
  <c r="AC11" i="8"/>
  <c r="AM11" i="8"/>
  <c r="AY11" i="8"/>
  <c r="I11" i="8"/>
  <c r="T11" i="8"/>
  <c r="AD11" i="8"/>
  <c r="AO11" i="8"/>
  <c r="AZ11" i="8"/>
  <c r="K11" i="8"/>
  <c r="U11" i="8"/>
  <c r="AE11" i="8"/>
  <c r="AQ11" i="8"/>
  <c r="BA11" i="8"/>
  <c r="L11" i="8"/>
  <c r="V11" i="8"/>
  <c r="AG11" i="8"/>
  <c r="AR11" i="8"/>
  <c r="BB11" i="8"/>
  <c r="M11" i="8"/>
  <c r="W11" i="8"/>
  <c r="AI11" i="8"/>
  <c r="AS11" i="8"/>
  <c r="BC11" i="8"/>
  <c r="O11" i="8"/>
  <c r="AA11" i="8"/>
  <c r="AK11" i="8"/>
  <c r="AU11" i="8"/>
  <c r="N11" i="8"/>
  <c r="Q11" i="8"/>
  <c r="Y11" i="8"/>
  <c r="AB11" i="8"/>
  <c r="AL11" i="8"/>
  <c r="AT11" i="8"/>
  <c r="H19" i="8"/>
  <c r="P19" i="8"/>
  <c r="X19" i="8"/>
  <c r="AF19" i="8"/>
  <c r="AN19" i="8"/>
  <c r="AV19" i="8"/>
  <c r="J19" i="8"/>
  <c r="R19" i="8"/>
  <c r="Z19" i="8"/>
  <c r="AH19" i="8"/>
  <c r="AP19" i="8"/>
  <c r="AX19" i="8"/>
  <c r="S19" i="8"/>
  <c r="AC19" i="8"/>
  <c r="AM19" i="8"/>
  <c r="AY19" i="8"/>
  <c r="I19" i="8"/>
  <c r="T19" i="8"/>
  <c r="AD19" i="8"/>
  <c r="AO19" i="8"/>
  <c r="AZ19" i="8"/>
  <c r="K19" i="8"/>
  <c r="U19" i="8"/>
  <c r="AE19" i="8"/>
  <c r="AQ19" i="8"/>
  <c r="BA19" i="8"/>
  <c r="L19" i="8"/>
  <c r="V19" i="8"/>
  <c r="AG19" i="8"/>
  <c r="AR19" i="8"/>
  <c r="BB19" i="8"/>
  <c r="O19" i="8"/>
  <c r="AA19" i="8"/>
  <c r="AK19" i="8"/>
  <c r="AU19" i="8"/>
  <c r="AJ19" i="8"/>
  <c r="M19" i="8"/>
  <c r="AL19" i="8"/>
  <c r="N19" i="8"/>
  <c r="AS19" i="8"/>
  <c r="Q19" i="8"/>
  <c r="AT19" i="8"/>
  <c r="Y19" i="8"/>
  <c r="BC19" i="8"/>
  <c r="AB19" i="8"/>
  <c r="N27" i="8"/>
  <c r="V27" i="8"/>
  <c r="AD27" i="8"/>
  <c r="AL27" i="8"/>
  <c r="J27" i="8"/>
  <c r="S27" i="8"/>
  <c r="AB27" i="8"/>
  <c r="AK27" i="8"/>
  <c r="AT27" i="8"/>
  <c r="BB27" i="8"/>
  <c r="K27" i="8"/>
  <c r="T27" i="8"/>
  <c r="AC27" i="8"/>
  <c r="AM27" i="8"/>
  <c r="AU27" i="8"/>
  <c r="BC27" i="8"/>
  <c r="L27" i="8"/>
  <c r="U27" i="8"/>
  <c r="AE27" i="8"/>
  <c r="AN27" i="8"/>
  <c r="AV27" i="8"/>
  <c r="M27" i="8"/>
  <c r="W27" i="8"/>
  <c r="AF27" i="8"/>
  <c r="AO27" i="8"/>
  <c r="AW27" i="8"/>
  <c r="P27" i="8"/>
  <c r="Y27" i="8"/>
  <c r="AH27" i="8"/>
  <c r="AQ27" i="8"/>
  <c r="AY27" i="8"/>
  <c r="H27" i="8"/>
  <c r="Q27" i="8"/>
  <c r="Z27" i="8"/>
  <c r="AI27" i="8"/>
  <c r="AR27" i="8"/>
  <c r="AZ27" i="8"/>
  <c r="N35" i="8"/>
  <c r="V35" i="8"/>
  <c r="AD35" i="8"/>
  <c r="AL35" i="8"/>
  <c r="AT35" i="8"/>
  <c r="BB35" i="8"/>
  <c r="O35" i="8"/>
  <c r="W35" i="8"/>
  <c r="AE35" i="8"/>
  <c r="AM35" i="8"/>
  <c r="AU35" i="8"/>
  <c r="BC35" i="8"/>
  <c r="H35" i="8"/>
  <c r="P35" i="8"/>
  <c r="X35" i="8"/>
  <c r="AF35" i="8"/>
  <c r="AN35" i="8"/>
  <c r="AV35" i="8"/>
  <c r="I35" i="8"/>
  <c r="Q35" i="8"/>
  <c r="Y35" i="8"/>
  <c r="AG35" i="8"/>
  <c r="BC9" i="8"/>
  <c r="AU9" i="8"/>
  <c r="AM9" i="8"/>
  <c r="AE9" i="8"/>
  <c r="W9" i="8"/>
  <c r="O9" i="8"/>
  <c r="BB44" i="8"/>
  <c r="AT44" i="8"/>
  <c r="AL44" i="8"/>
  <c r="AD44" i="8"/>
  <c r="V44" i="8"/>
  <c r="N44" i="8"/>
  <c r="BB43" i="8"/>
  <c r="AT43" i="8"/>
  <c r="AL43" i="8"/>
  <c r="AD43" i="8"/>
  <c r="V43" i="8"/>
  <c r="N43" i="8"/>
  <c r="BB42" i="8"/>
  <c r="AT42" i="8"/>
  <c r="AL42" i="8"/>
  <c r="AD42" i="8"/>
  <c r="V42" i="8"/>
  <c r="N42" i="8"/>
  <c r="BB41" i="8"/>
  <c r="AS41" i="8"/>
  <c r="AI41" i="8"/>
  <c r="Y41" i="8"/>
  <c r="M41" i="8"/>
  <c r="AY40" i="8"/>
  <c r="AO40" i="8"/>
  <c r="AC40" i="8"/>
  <c r="S40" i="8"/>
  <c r="I40" i="8"/>
  <c r="AR39" i="8"/>
  <c r="AG39" i="8"/>
  <c r="S39" i="8"/>
  <c r="BA38" i="8"/>
  <c r="AP38" i="8"/>
  <c r="AB38" i="8"/>
  <c r="Q38" i="8"/>
  <c r="AY37" i="8"/>
  <c r="AK37" i="8"/>
  <c r="Z37" i="8"/>
  <c r="L37" i="8"/>
  <c r="AW36" i="8"/>
  <c r="AI36" i="8"/>
  <c r="U36" i="8"/>
  <c r="J36" i="8"/>
  <c r="AR35" i="8"/>
  <c r="AC35" i="8"/>
  <c r="M35" i="8"/>
  <c r="AS34" i="8"/>
  <c r="AC34" i="8"/>
  <c r="M34" i="8"/>
  <c r="AQ33" i="8"/>
  <c r="U33" i="8"/>
  <c r="AX32" i="8"/>
  <c r="AA32" i="8"/>
  <c r="BA31" i="8"/>
  <c r="AH31" i="8"/>
  <c r="K31" i="8"/>
  <c r="AK30" i="8"/>
  <c r="R30" i="8"/>
  <c r="AQ29" i="8"/>
  <c r="U29" i="8"/>
  <c r="AK28" i="8"/>
  <c r="BA27" i="8"/>
  <c r="R27" i="8"/>
  <c r="AC26" i="8"/>
  <c r="AO25" i="8"/>
  <c r="AP24" i="8"/>
  <c r="AG23" i="8"/>
  <c r="AR21" i="8"/>
  <c r="AI19" i="8"/>
  <c r="V16" i="8"/>
  <c r="AR12" i="8"/>
  <c r="BB9" i="8"/>
  <c r="AT9" i="8"/>
  <c r="AL9" i="8"/>
  <c r="AD9" i="8"/>
  <c r="V9" i="8"/>
  <c r="N9" i="8"/>
  <c r="BA44" i="8"/>
  <c r="AS44" i="8"/>
  <c r="AK44" i="8"/>
  <c r="AC44" i="8"/>
  <c r="U44" i="8"/>
  <c r="M44" i="8"/>
  <c r="BA43" i="8"/>
  <c r="AS43" i="8"/>
  <c r="AK43" i="8"/>
  <c r="AC43" i="8"/>
  <c r="U43" i="8"/>
  <c r="M43" i="8"/>
  <c r="BA42" i="8"/>
  <c r="AS42" i="8"/>
  <c r="AK42" i="8"/>
  <c r="AC42" i="8"/>
  <c r="U42" i="8"/>
  <c r="M42" i="8"/>
  <c r="BA41" i="8"/>
  <c r="AR41" i="8"/>
  <c r="AH41" i="8"/>
  <c r="W41" i="8"/>
  <c r="AX40" i="8"/>
  <c r="AM40" i="8"/>
  <c r="AB40" i="8"/>
  <c r="R40" i="8"/>
  <c r="BC39" i="8"/>
  <c r="AQ39" i="8"/>
  <c r="AC39" i="8"/>
  <c r="R39" i="8"/>
  <c r="AZ38" i="8"/>
  <c r="AO38" i="8"/>
  <c r="AA38" i="8"/>
  <c r="M38" i="8"/>
  <c r="AX37" i="8"/>
  <c r="AJ37" i="8"/>
  <c r="Y37" i="8"/>
  <c r="K37" i="8"/>
  <c r="AS36" i="8"/>
  <c r="AH36" i="8"/>
  <c r="T36" i="8"/>
  <c r="I36" i="8"/>
  <c r="AQ35" i="8"/>
  <c r="AB35" i="8"/>
  <c r="L35" i="8"/>
  <c r="AR34" i="8"/>
  <c r="AB34" i="8"/>
  <c r="AP33" i="8"/>
  <c r="AS32" i="8"/>
  <c r="Z32" i="8"/>
  <c r="AY31" i="8"/>
  <c r="AC31" i="8"/>
  <c r="J31" i="8"/>
  <c r="AI30" i="8"/>
  <c r="M30" i="8"/>
  <c r="AP29" i="8"/>
  <c r="R29" i="8"/>
  <c r="AH28" i="8"/>
  <c r="AX27" i="8"/>
  <c r="O27" i="8"/>
  <c r="Z26" i="8"/>
  <c r="AJ24" i="8"/>
  <c r="W23" i="8"/>
  <c r="AI21" i="8"/>
  <c r="W19" i="8"/>
  <c r="AD12" i="8"/>
  <c r="N34" i="8"/>
  <c r="V34" i="8"/>
  <c r="AD34" i="8"/>
  <c r="AL34" i="8"/>
  <c r="AT34" i="8"/>
  <c r="BB34" i="8"/>
  <c r="O34" i="8"/>
  <c r="W34" i="8"/>
  <c r="AE34" i="8"/>
  <c r="AM34" i="8"/>
  <c r="AU34" i="8"/>
  <c r="BC34" i="8"/>
  <c r="H34" i="8"/>
  <c r="P34" i="8"/>
  <c r="X34" i="8"/>
  <c r="AF34" i="8"/>
  <c r="AN34" i="8"/>
  <c r="AV34" i="8"/>
  <c r="I34" i="8"/>
  <c r="Q34" i="8"/>
  <c r="Y34" i="8"/>
  <c r="AG34" i="8"/>
  <c r="AO34" i="8"/>
  <c r="AW34" i="8"/>
  <c r="H17" i="8"/>
  <c r="P17" i="8"/>
  <c r="X17" i="8"/>
  <c r="AF17" i="8"/>
  <c r="AN17" i="8"/>
  <c r="AV17" i="8"/>
  <c r="J17" i="8"/>
  <c r="R17" i="8"/>
  <c r="Z17" i="8"/>
  <c r="AH17" i="8"/>
  <c r="AP17" i="8"/>
  <c r="AX17" i="8"/>
  <c r="S17" i="8"/>
  <c r="AC17" i="8"/>
  <c r="AM17" i="8"/>
  <c r="AY17" i="8"/>
  <c r="I17" i="8"/>
  <c r="T17" i="8"/>
  <c r="AD17" i="8"/>
  <c r="AO17" i="8"/>
  <c r="AZ17" i="8"/>
  <c r="K17" i="8"/>
  <c r="U17" i="8"/>
  <c r="AE17" i="8"/>
  <c r="AQ17" i="8"/>
  <c r="BA17" i="8"/>
  <c r="L17" i="8"/>
  <c r="V17" i="8"/>
  <c r="AG17" i="8"/>
  <c r="AR17" i="8"/>
  <c r="BB17" i="8"/>
  <c r="M17" i="8"/>
  <c r="W17" i="8"/>
  <c r="AI17" i="8"/>
  <c r="AS17" i="8"/>
  <c r="BC17" i="8"/>
  <c r="O17" i="8"/>
  <c r="AA17" i="8"/>
  <c r="AK17" i="8"/>
  <c r="AU17" i="8"/>
  <c r="Y17" i="8"/>
  <c r="AB17" i="8"/>
  <c r="AJ17" i="8"/>
  <c r="AL17" i="8"/>
  <c r="AW17" i="8"/>
  <c r="N17" i="8"/>
  <c r="M25" i="8"/>
  <c r="U25" i="8"/>
  <c r="AC25" i="8"/>
  <c r="N25" i="8"/>
  <c r="V25" i="8"/>
  <c r="AD25" i="8"/>
  <c r="AL25" i="8"/>
  <c r="AT25" i="8"/>
  <c r="BB25" i="8"/>
  <c r="O25" i="8"/>
  <c r="W25" i="8"/>
  <c r="I25" i="8"/>
  <c r="T25" i="8"/>
  <c r="AG25" i="8"/>
  <c r="AP25" i="8"/>
  <c r="AY25" i="8"/>
  <c r="J25" i="8"/>
  <c r="X25" i="8"/>
  <c r="AH25" i="8"/>
  <c r="AQ25" i="8"/>
  <c r="AZ25" i="8"/>
  <c r="K25" i="8"/>
  <c r="Y25" i="8"/>
  <c r="AI25" i="8"/>
  <c r="AR25" i="8"/>
  <c r="BA25" i="8"/>
  <c r="L25" i="8"/>
  <c r="Z25" i="8"/>
  <c r="AJ25" i="8"/>
  <c r="AS25" i="8"/>
  <c r="BC25" i="8"/>
  <c r="Q25" i="8"/>
  <c r="AB25" i="8"/>
  <c r="AM25" i="8"/>
  <c r="AV25" i="8"/>
  <c r="R25" i="8"/>
  <c r="AE25" i="8"/>
  <c r="AN25" i="8"/>
  <c r="AW25" i="8"/>
  <c r="N33" i="8"/>
  <c r="V33" i="8"/>
  <c r="AD33" i="8"/>
  <c r="AL33" i="8"/>
  <c r="AT33" i="8"/>
  <c r="BB33" i="8"/>
  <c r="O33" i="8"/>
  <c r="W33" i="8"/>
  <c r="AE33" i="8"/>
  <c r="AM33" i="8"/>
  <c r="AU33" i="8"/>
  <c r="BC33" i="8"/>
  <c r="H33" i="8"/>
  <c r="P33" i="8"/>
  <c r="X33" i="8"/>
  <c r="AF33" i="8"/>
  <c r="AN33" i="8"/>
  <c r="AV33" i="8"/>
  <c r="I33" i="8"/>
  <c r="Q33" i="8"/>
  <c r="Y33" i="8"/>
  <c r="AG33" i="8"/>
  <c r="AO33" i="8"/>
  <c r="AW33" i="8"/>
  <c r="L33" i="8"/>
  <c r="T33" i="8"/>
  <c r="AB33" i="8"/>
  <c r="AJ33" i="8"/>
  <c r="AR33" i="8"/>
  <c r="AZ33" i="8"/>
  <c r="N41" i="8"/>
  <c r="V41" i="8"/>
  <c r="AD41" i="8"/>
  <c r="AL41" i="8"/>
  <c r="AT41" i="8"/>
  <c r="H41" i="8"/>
  <c r="P41" i="8"/>
  <c r="X41" i="8"/>
  <c r="AF41" i="8"/>
  <c r="AN41" i="8"/>
  <c r="BA9" i="8"/>
  <c r="AS9" i="8"/>
  <c r="AK9" i="8"/>
  <c r="AC9" i="8"/>
  <c r="U9" i="8"/>
  <c r="M9" i="8"/>
  <c r="AZ44" i="8"/>
  <c r="AR44" i="8"/>
  <c r="AJ44" i="8"/>
  <c r="AB44" i="8"/>
  <c r="T44" i="8"/>
  <c r="L44" i="8"/>
  <c r="AZ43" i="8"/>
  <c r="AR43" i="8"/>
  <c r="AJ43" i="8"/>
  <c r="AB43" i="8"/>
  <c r="T43" i="8"/>
  <c r="L43" i="8"/>
  <c r="AZ42" i="8"/>
  <c r="AR42" i="8"/>
  <c r="AJ42" i="8"/>
  <c r="AB42" i="8"/>
  <c r="T42" i="8"/>
  <c r="L42" i="8"/>
  <c r="AZ41" i="8"/>
  <c r="AQ41" i="8"/>
  <c r="AG41" i="8"/>
  <c r="U41" i="8"/>
  <c r="K41" i="8"/>
  <c r="AW40" i="8"/>
  <c r="AK40" i="8"/>
  <c r="AA40" i="8"/>
  <c r="BA39" i="8"/>
  <c r="AP39" i="8"/>
  <c r="AB39" i="8"/>
  <c r="Q39" i="8"/>
  <c r="AY38" i="8"/>
  <c r="AK38" i="8"/>
  <c r="Z38" i="8"/>
  <c r="L38" i="8"/>
  <c r="AW37" i="8"/>
  <c r="AI37" i="8"/>
  <c r="U37" i="8"/>
  <c r="J37" i="8"/>
  <c r="AR36" i="8"/>
  <c r="AG36" i="8"/>
  <c r="S36" i="8"/>
  <c r="BA35" i="8"/>
  <c r="AP35" i="8"/>
  <c r="AA35" i="8"/>
  <c r="K35" i="8"/>
  <c r="AQ34" i="8"/>
  <c r="AA34" i="8"/>
  <c r="K34" i="8"/>
  <c r="AK33" i="8"/>
  <c r="R33" i="8"/>
  <c r="AQ32" i="8"/>
  <c r="AX31" i="8"/>
  <c r="AA31" i="8"/>
  <c r="BA30" i="8"/>
  <c r="AH30" i="8"/>
  <c r="K30" i="8"/>
  <c r="AK29" i="8"/>
  <c r="M29" i="8"/>
  <c r="AC28" i="8"/>
  <c r="AS27" i="8"/>
  <c r="I27" i="8"/>
  <c r="T26" i="8"/>
  <c r="AF25" i="8"/>
  <c r="V21" i="8"/>
  <c r="AZ18" i="8"/>
  <c r="AB15" i="8"/>
  <c r="AW11" i="8"/>
  <c r="H16" i="8"/>
  <c r="P16" i="8"/>
  <c r="X16" i="8"/>
  <c r="AF16" i="8"/>
  <c r="AN16" i="8"/>
  <c r="AV16" i="8"/>
  <c r="J16" i="8"/>
  <c r="R16" i="8"/>
  <c r="Z16" i="8"/>
  <c r="AH16" i="8"/>
  <c r="AP16" i="8"/>
  <c r="AX16" i="8"/>
  <c r="M16" i="8"/>
  <c r="W16" i="8"/>
  <c r="AI16" i="8"/>
  <c r="AS16" i="8"/>
  <c r="BC16" i="8"/>
  <c r="N16" i="8"/>
  <c r="Y16" i="8"/>
  <c r="AJ16" i="8"/>
  <c r="AT16" i="8"/>
  <c r="O16" i="8"/>
  <c r="AA16" i="8"/>
  <c r="AK16" i="8"/>
  <c r="AU16" i="8"/>
  <c r="Q16" i="8"/>
  <c r="AB16" i="8"/>
  <c r="AL16" i="8"/>
  <c r="AW16" i="8"/>
  <c r="S16" i="8"/>
  <c r="AC16" i="8"/>
  <c r="AM16" i="8"/>
  <c r="AY16" i="8"/>
  <c r="K16" i="8"/>
  <c r="U16" i="8"/>
  <c r="AE16" i="8"/>
  <c r="AQ16" i="8"/>
  <c r="BA16" i="8"/>
  <c r="AD16" i="8"/>
  <c r="AG16" i="8"/>
  <c r="AO16" i="8"/>
  <c r="AR16" i="8"/>
  <c r="L16" i="8"/>
  <c r="BB16" i="8"/>
  <c r="T16" i="8"/>
  <c r="H24" i="8"/>
  <c r="J24" i="8"/>
  <c r="M24" i="8"/>
  <c r="U24" i="8"/>
  <c r="AC24" i="8"/>
  <c r="AK24" i="8"/>
  <c r="AS24" i="8"/>
  <c r="BA24" i="8"/>
  <c r="N24" i="8"/>
  <c r="V24" i="8"/>
  <c r="AD24" i="8"/>
  <c r="AL24" i="8"/>
  <c r="AT24" i="8"/>
  <c r="BB24" i="8"/>
  <c r="O24" i="8"/>
  <c r="W24" i="8"/>
  <c r="AE24" i="8"/>
  <c r="AM24" i="8"/>
  <c r="AU24" i="8"/>
  <c r="BC24" i="8"/>
  <c r="R24" i="8"/>
  <c r="AF24" i="8"/>
  <c r="AQ24" i="8"/>
  <c r="S24" i="8"/>
  <c r="AG24" i="8"/>
  <c r="AR24" i="8"/>
  <c r="T24" i="8"/>
  <c r="AH24" i="8"/>
  <c r="AV24" i="8"/>
  <c r="I24" i="8"/>
  <c r="X24" i="8"/>
  <c r="AI24" i="8"/>
  <c r="AW24" i="8"/>
  <c r="L24" i="8"/>
  <c r="Z24" i="8"/>
  <c r="AN24" i="8"/>
  <c r="AY24" i="8"/>
  <c r="P24" i="8"/>
  <c r="AA24" i="8"/>
  <c r="AO24" i="8"/>
  <c r="AZ24" i="8"/>
  <c r="N32" i="8"/>
  <c r="V32" i="8"/>
  <c r="AD32" i="8"/>
  <c r="AL32" i="8"/>
  <c r="AT32" i="8"/>
  <c r="BB32" i="8"/>
  <c r="O32" i="8"/>
  <c r="W32" i="8"/>
  <c r="AE32" i="8"/>
  <c r="AM32" i="8"/>
  <c r="AU32" i="8"/>
  <c r="BC32" i="8"/>
  <c r="H32" i="8"/>
  <c r="P32" i="8"/>
  <c r="X32" i="8"/>
  <c r="AF32" i="8"/>
  <c r="AN32" i="8"/>
  <c r="AV32" i="8"/>
  <c r="I32" i="8"/>
  <c r="Q32" i="8"/>
  <c r="Y32" i="8"/>
  <c r="AG32" i="8"/>
  <c r="AO32" i="8"/>
  <c r="AW32" i="8"/>
  <c r="L32" i="8"/>
  <c r="T32" i="8"/>
  <c r="AB32" i="8"/>
  <c r="AJ32" i="8"/>
  <c r="AR32" i="8"/>
  <c r="AZ32" i="8"/>
  <c r="N40" i="8"/>
  <c r="V40" i="8"/>
  <c r="AD40" i="8"/>
  <c r="AL40" i="8"/>
  <c r="AT40" i="8"/>
  <c r="BB40" i="8"/>
  <c r="H40" i="8"/>
  <c r="P40" i="8"/>
  <c r="X40" i="8"/>
  <c r="AF40" i="8"/>
  <c r="AN40" i="8"/>
  <c r="AV40" i="8"/>
  <c r="AZ9" i="8"/>
  <c r="AR9" i="8"/>
  <c r="AJ9" i="8"/>
  <c r="AB9" i="8"/>
  <c r="T9" i="8"/>
  <c r="L9" i="8"/>
  <c r="AY44" i="8"/>
  <c r="AQ44" i="8"/>
  <c r="AI44" i="8"/>
  <c r="AA44" i="8"/>
  <c r="S44" i="8"/>
  <c r="K44" i="8"/>
  <c r="AY43" i="8"/>
  <c r="AQ43" i="8"/>
  <c r="AI43" i="8"/>
  <c r="AA43" i="8"/>
  <c r="S43" i="8"/>
  <c r="K43" i="8"/>
  <c r="AY42" i="8"/>
  <c r="AQ42" i="8"/>
  <c r="AI42" i="8"/>
  <c r="AA42" i="8"/>
  <c r="S42" i="8"/>
  <c r="K42" i="8"/>
  <c r="AY41" i="8"/>
  <c r="AP41" i="8"/>
  <c r="AE41" i="8"/>
  <c r="T41" i="8"/>
  <c r="J41" i="8"/>
  <c r="AU40" i="8"/>
  <c r="AJ40" i="8"/>
  <c r="Z40" i="8"/>
  <c r="O40" i="8"/>
  <c r="AZ39" i="8"/>
  <c r="AO39" i="8"/>
  <c r="AA39" i="8"/>
  <c r="AX38" i="8"/>
  <c r="AJ38" i="8"/>
  <c r="Y38" i="8"/>
  <c r="K38" i="8"/>
  <c r="AS37" i="8"/>
  <c r="AH37" i="8"/>
  <c r="T37" i="8"/>
  <c r="I37" i="8"/>
  <c r="AQ36" i="8"/>
  <c r="AC36" i="8"/>
  <c r="R36" i="8"/>
  <c r="AZ35" i="8"/>
  <c r="AO35" i="8"/>
  <c r="Z35" i="8"/>
  <c r="J35" i="8"/>
  <c r="AP34" i="8"/>
  <c r="Z34" i="8"/>
  <c r="J34" i="8"/>
  <c r="AI33" i="8"/>
  <c r="M33" i="8"/>
  <c r="AP32" i="8"/>
  <c r="S32" i="8"/>
  <c r="AS31" i="8"/>
  <c r="AY30" i="8"/>
  <c r="AC30" i="8"/>
  <c r="J30" i="8"/>
  <c r="AI29" i="8"/>
  <c r="J29" i="8"/>
  <c r="Z28" i="8"/>
  <c r="AP27" i="8"/>
  <c r="BA26" i="8"/>
  <c r="AA25" i="8"/>
  <c r="Y24" i="8"/>
  <c r="AY22" i="8"/>
  <c r="M21" i="8"/>
  <c r="AJ11" i="8"/>
  <c r="H10" i="8"/>
  <c r="P10" i="8"/>
  <c r="X10" i="8"/>
  <c r="AF10" i="8"/>
  <c r="AN10" i="8"/>
  <c r="AV10" i="8"/>
  <c r="I10" i="8"/>
  <c r="J10" i="8"/>
  <c r="R10" i="8"/>
  <c r="Z10" i="8"/>
  <c r="AH10" i="8"/>
  <c r="AP10" i="8"/>
  <c r="AX10" i="8"/>
  <c r="K10" i="8"/>
  <c r="N10" i="8"/>
  <c r="L10" i="8"/>
  <c r="W10" i="8"/>
  <c r="AI10" i="8"/>
  <c r="AS10" i="8"/>
  <c r="BC10" i="8"/>
  <c r="M10" i="8"/>
  <c r="Y10" i="8"/>
  <c r="AJ10" i="8"/>
  <c r="AT10" i="8"/>
  <c r="O10" i="8"/>
  <c r="AA10" i="8"/>
  <c r="AK10" i="8"/>
  <c r="AU10" i="8"/>
  <c r="Q10" i="8"/>
  <c r="AB10" i="8"/>
  <c r="AL10" i="8"/>
  <c r="AW10" i="8"/>
  <c r="S10" i="8"/>
  <c r="AC10" i="8"/>
  <c r="AM10" i="8"/>
  <c r="AY10" i="8"/>
  <c r="U10" i="8"/>
  <c r="AE10" i="8"/>
  <c r="AQ10" i="8"/>
  <c r="BA10" i="8"/>
  <c r="T10" i="8"/>
  <c r="V10" i="8"/>
  <c r="AD10" i="8"/>
  <c r="AG10" i="8"/>
  <c r="AR10" i="8"/>
  <c r="AZ10" i="8"/>
  <c r="H18" i="8"/>
  <c r="P18" i="8"/>
  <c r="X18" i="8"/>
  <c r="AF18" i="8"/>
  <c r="AN18" i="8"/>
  <c r="AV18" i="8"/>
  <c r="J18" i="8"/>
  <c r="R18" i="8"/>
  <c r="Z18" i="8"/>
  <c r="AH18" i="8"/>
  <c r="AP18" i="8"/>
  <c r="AX18" i="8"/>
  <c r="M18" i="8"/>
  <c r="W18" i="8"/>
  <c r="AI18" i="8"/>
  <c r="AS18" i="8"/>
  <c r="BC18" i="8"/>
  <c r="N18" i="8"/>
  <c r="Y18" i="8"/>
  <c r="AJ18" i="8"/>
  <c r="AT18" i="8"/>
  <c r="O18" i="8"/>
  <c r="AA18" i="8"/>
  <c r="AK18" i="8"/>
  <c r="AU18" i="8"/>
  <c r="Q18" i="8"/>
  <c r="AB18" i="8"/>
  <c r="AL18" i="8"/>
  <c r="AW18" i="8"/>
  <c r="S18" i="8"/>
  <c r="AC18" i="8"/>
  <c r="AM18" i="8"/>
  <c r="K18" i="8"/>
  <c r="U18" i="8"/>
  <c r="AE18" i="8"/>
  <c r="AQ18" i="8"/>
  <c r="BA18" i="8"/>
  <c r="T18" i="8"/>
  <c r="BB18" i="8"/>
  <c r="V18" i="8"/>
  <c r="AD18" i="8"/>
  <c r="AG18" i="8"/>
  <c r="AR18" i="8"/>
  <c r="I18" i="8"/>
  <c r="AY18" i="8"/>
  <c r="N26" i="8"/>
  <c r="V26" i="8"/>
  <c r="AD26" i="8"/>
  <c r="AL26" i="8"/>
  <c r="AT26" i="8"/>
  <c r="BB26" i="8"/>
  <c r="L26" i="8"/>
  <c r="U26" i="8"/>
  <c r="AE26" i="8"/>
  <c r="AN26" i="8"/>
  <c r="AW26" i="8"/>
  <c r="M26" i="8"/>
  <c r="W26" i="8"/>
  <c r="AF26" i="8"/>
  <c r="AO26" i="8"/>
  <c r="AX26" i="8"/>
  <c r="O26" i="8"/>
  <c r="X26" i="8"/>
  <c r="AG26" i="8"/>
  <c r="AP26" i="8"/>
  <c r="AY26" i="8"/>
  <c r="P26" i="8"/>
  <c r="Y26" i="8"/>
  <c r="AH26" i="8"/>
  <c r="AQ26" i="8"/>
  <c r="AZ26" i="8"/>
  <c r="I26" i="8"/>
  <c r="R26" i="8"/>
  <c r="AA26" i="8"/>
  <c r="AJ26" i="8"/>
  <c r="AS26" i="8"/>
  <c r="BC26" i="8"/>
  <c r="J26" i="8"/>
  <c r="S26" i="8"/>
  <c r="AB26" i="8"/>
  <c r="AK26" i="8"/>
  <c r="AU26" i="8"/>
  <c r="H15" i="8"/>
  <c r="P15" i="8"/>
  <c r="X15" i="8"/>
  <c r="AF15" i="8"/>
  <c r="AN15" i="8"/>
  <c r="AV15" i="8"/>
  <c r="J15" i="8"/>
  <c r="R15" i="8"/>
  <c r="Z15" i="8"/>
  <c r="AH15" i="8"/>
  <c r="AP15" i="8"/>
  <c r="AX15" i="8"/>
  <c r="S15" i="8"/>
  <c r="AC15" i="8"/>
  <c r="AM15" i="8"/>
  <c r="AY15" i="8"/>
  <c r="I15" i="8"/>
  <c r="T15" i="8"/>
  <c r="AD15" i="8"/>
  <c r="AO15" i="8"/>
  <c r="AZ15" i="8"/>
  <c r="K15" i="8"/>
  <c r="U15" i="8"/>
  <c r="AE15" i="8"/>
  <c r="AQ15" i="8"/>
  <c r="BA15" i="8"/>
  <c r="L15" i="8"/>
  <c r="V15" i="8"/>
  <c r="AG15" i="8"/>
  <c r="AR15" i="8"/>
  <c r="BB15" i="8"/>
  <c r="M15" i="8"/>
  <c r="W15" i="8"/>
  <c r="AI15" i="8"/>
  <c r="AS15" i="8"/>
  <c r="BC15" i="8"/>
  <c r="O15" i="8"/>
  <c r="AA15" i="8"/>
  <c r="AK15" i="8"/>
  <c r="AU15" i="8"/>
  <c r="AJ15" i="8"/>
  <c r="AL15" i="8"/>
  <c r="AT15" i="8"/>
  <c r="AW15" i="8"/>
  <c r="Q15" i="8"/>
  <c r="Y15" i="8"/>
  <c r="H23" i="8"/>
  <c r="P23" i="8"/>
  <c r="X23" i="8"/>
  <c r="AF23" i="8"/>
  <c r="AN23" i="8"/>
  <c r="AV23" i="8"/>
  <c r="J23" i="8"/>
  <c r="R23" i="8"/>
  <c r="Z23" i="8"/>
  <c r="AH23" i="8"/>
  <c r="AP23" i="8"/>
  <c r="AX23" i="8"/>
  <c r="S23" i="8"/>
  <c r="AC23" i="8"/>
  <c r="AM23" i="8"/>
  <c r="AY23" i="8"/>
  <c r="I23" i="8"/>
  <c r="T23" i="8"/>
  <c r="AD23" i="8"/>
  <c r="AO23" i="8"/>
  <c r="AZ23" i="8"/>
  <c r="K23" i="8"/>
  <c r="U23" i="8"/>
  <c r="AE23" i="8"/>
  <c r="AQ23" i="8"/>
  <c r="BA23" i="8"/>
  <c r="O23" i="8"/>
  <c r="AA23" i="8"/>
  <c r="M23" i="8"/>
  <c r="AI23" i="8"/>
  <c r="AW23" i="8"/>
  <c r="N23" i="8"/>
  <c r="AJ23" i="8"/>
  <c r="BB23" i="8"/>
  <c r="Q23" i="8"/>
  <c r="AK23" i="8"/>
  <c r="BC23" i="8"/>
  <c r="V23" i="8"/>
  <c r="AL23" i="8"/>
  <c r="Y23" i="8"/>
  <c r="AS23" i="8"/>
  <c r="AB23" i="8"/>
  <c r="AT23" i="8"/>
  <c r="N31" i="8"/>
  <c r="V31" i="8"/>
  <c r="AD31" i="8"/>
  <c r="AL31" i="8"/>
  <c r="AT31" i="8"/>
  <c r="BB31" i="8"/>
  <c r="O31" i="8"/>
  <c r="W31" i="8"/>
  <c r="AE31" i="8"/>
  <c r="AM31" i="8"/>
  <c r="AU31" i="8"/>
  <c r="BC31" i="8"/>
  <c r="H31" i="8"/>
  <c r="P31" i="8"/>
  <c r="X31" i="8"/>
  <c r="AF31" i="8"/>
  <c r="AN31" i="8"/>
  <c r="AV31" i="8"/>
  <c r="I31" i="8"/>
  <c r="Q31" i="8"/>
  <c r="Y31" i="8"/>
  <c r="AG31" i="8"/>
  <c r="AO31" i="8"/>
  <c r="AW31" i="8"/>
  <c r="L31" i="8"/>
  <c r="T31" i="8"/>
  <c r="AB31" i="8"/>
  <c r="AJ31" i="8"/>
  <c r="AR31" i="8"/>
  <c r="AZ31" i="8"/>
  <c r="N39" i="8"/>
  <c r="V39" i="8"/>
  <c r="AD39" i="8"/>
  <c r="AL39" i="8"/>
  <c r="AT39" i="8"/>
  <c r="BB39" i="8"/>
  <c r="O39" i="8"/>
  <c r="W39" i="8"/>
  <c r="AE39" i="8"/>
  <c r="AM39" i="8"/>
  <c r="AU39" i="8"/>
  <c r="H39" i="8"/>
  <c r="P39" i="8"/>
  <c r="X39" i="8"/>
  <c r="AF39" i="8"/>
  <c r="AN39" i="8"/>
  <c r="AV39" i="8"/>
  <c r="AY9" i="8"/>
  <c r="AQ9" i="8"/>
  <c r="AI9" i="8"/>
  <c r="AA9" i="8"/>
  <c r="S9" i="8"/>
  <c r="K9" i="8"/>
  <c r="AX44" i="8"/>
  <c r="AP44" i="8"/>
  <c r="AH44" i="8"/>
  <c r="Z44" i="8"/>
  <c r="R44" i="8"/>
  <c r="J44" i="8"/>
  <c r="AX43" i="8"/>
  <c r="AP43" i="8"/>
  <c r="AH43" i="8"/>
  <c r="Z43" i="8"/>
  <c r="R43" i="8"/>
  <c r="J43" i="8"/>
  <c r="AX42" i="8"/>
  <c r="AP42" i="8"/>
  <c r="AH42" i="8"/>
  <c r="Z42" i="8"/>
  <c r="R42" i="8"/>
  <c r="J42" i="8"/>
  <c r="AX41" i="8"/>
  <c r="AO41" i="8"/>
  <c r="AC41" i="8"/>
  <c r="S41" i="8"/>
  <c r="I41" i="8"/>
  <c r="AS40" i="8"/>
  <c r="AI40" i="8"/>
  <c r="Y40" i="8"/>
  <c r="M40" i="8"/>
  <c r="AY39" i="8"/>
  <c r="AK39" i="8"/>
  <c r="Z39" i="8"/>
  <c r="L39" i="8"/>
  <c r="AW38" i="8"/>
  <c r="AI38" i="8"/>
  <c r="U38" i="8"/>
  <c r="AR37" i="8"/>
  <c r="AG37" i="8"/>
  <c r="S37" i="8"/>
  <c r="BA36" i="8"/>
  <c r="AP36" i="8"/>
  <c r="AB36" i="8"/>
  <c r="Q36" i="8"/>
  <c r="AY35" i="8"/>
  <c r="AK35" i="8"/>
  <c r="U35" i="8"/>
  <c r="BA34" i="8"/>
  <c r="AK34" i="8"/>
  <c r="U34" i="8"/>
  <c r="BA33" i="8"/>
  <c r="AH33" i="8"/>
  <c r="K33" i="8"/>
  <c r="AK32" i="8"/>
  <c r="R32" i="8"/>
  <c r="AQ31" i="8"/>
  <c r="U31" i="8"/>
  <c r="AX30" i="8"/>
  <c r="BA29" i="8"/>
  <c r="AH29" i="8"/>
  <c r="BA28" i="8"/>
  <c r="U28" i="8"/>
  <c r="AJ27" i="8"/>
  <c r="AV26" i="8"/>
  <c r="K26" i="8"/>
  <c r="S25" i="8"/>
  <c r="Q24" i="8"/>
  <c r="AO20" i="8"/>
  <c r="L18" i="8"/>
  <c r="AG14" i="8"/>
  <c r="BB10" i="8"/>
  <c r="H22" i="8"/>
  <c r="P22" i="8"/>
  <c r="X22" i="8"/>
  <c r="AF22" i="8"/>
  <c r="AN22" i="8"/>
  <c r="AV22" i="8"/>
  <c r="J22" i="8"/>
  <c r="R22" i="8"/>
  <c r="Z22" i="8"/>
  <c r="AH22" i="8"/>
  <c r="AP22" i="8"/>
  <c r="AX22" i="8"/>
  <c r="M22" i="8"/>
  <c r="W22" i="8"/>
  <c r="AI22" i="8"/>
  <c r="AS22" i="8"/>
  <c r="BC22" i="8"/>
  <c r="N22" i="8"/>
  <c r="Y22" i="8"/>
  <c r="AJ22" i="8"/>
  <c r="AT22" i="8"/>
  <c r="O22" i="8"/>
  <c r="AA22" i="8"/>
  <c r="AK22" i="8"/>
  <c r="AU22" i="8"/>
  <c r="K22" i="8"/>
  <c r="U22" i="8"/>
  <c r="AE22" i="8"/>
  <c r="AQ22" i="8"/>
  <c r="BA22" i="8"/>
  <c r="S22" i="8"/>
  <c r="AM22" i="8"/>
  <c r="T22" i="8"/>
  <c r="AO22" i="8"/>
  <c r="V22" i="8"/>
  <c r="AR22" i="8"/>
  <c r="AB22" i="8"/>
  <c r="AW22" i="8"/>
  <c r="I22" i="8"/>
  <c r="AD22" i="8"/>
  <c r="AZ22" i="8"/>
  <c r="L22" i="8"/>
  <c r="AG22" i="8"/>
  <c r="BB22" i="8"/>
  <c r="N30" i="8"/>
  <c r="V30" i="8"/>
  <c r="AD30" i="8"/>
  <c r="AL30" i="8"/>
  <c r="AT30" i="8"/>
  <c r="BB30" i="8"/>
  <c r="O30" i="8"/>
  <c r="W30" i="8"/>
  <c r="AE30" i="8"/>
  <c r="AM30" i="8"/>
  <c r="AU30" i="8"/>
  <c r="BC30" i="8"/>
  <c r="H30" i="8"/>
  <c r="P30" i="8"/>
  <c r="X30" i="8"/>
  <c r="AF30" i="8"/>
  <c r="AN30" i="8"/>
  <c r="AV30" i="8"/>
  <c r="I30" i="8"/>
  <c r="Q30" i="8"/>
  <c r="Y30" i="8"/>
  <c r="AG30" i="8"/>
  <c r="AO30" i="8"/>
  <c r="AW30" i="8"/>
  <c r="L30" i="8"/>
  <c r="T30" i="8"/>
  <c r="AB30" i="8"/>
  <c r="AJ30" i="8"/>
  <c r="AR30" i="8"/>
  <c r="AZ30" i="8"/>
  <c r="N38" i="8"/>
  <c r="V38" i="8"/>
  <c r="AD38" i="8"/>
  <c r="AL38" i="8"/>
  <c r="AT38" i="8"/>
  <c r="BB38" i="8"/>
  <c r="O38" i="8"/>
  <c r="W38" i="8"/>
  <c r="AE38" i="8"/>
  <c r="AM38" i="8"/>
  <c r="AU38" i="8"/>
  <c r="BC38" i="8"/>
  <c r="H38" i="8"/>
  <c r="P38" i="8"/>
  <c r="X38" i="8"/>
  <c r="AF38" i="8"/>
  <c r="AN38" i="8"/>
  <c r="AV38" i="8"/>
  <c r="AX9" i="8"/>
  <c r="AP9" i="8"/>
  <c r="AH9" i="8"/>
  <c r="Z9" i="8"/>
  <c r="R9" i="8"/>
  <c r="AW44" i="8"/>
  <c r="AO44" i="8"/>
  <c r="AG44" i="8"/>
  <c r="Y44" i="8"/>
  <c r="Q44" i="8"/>
  <c r="AW43" i="8"/>
  <c r="AO43" i="8"/>
  <c r="AG43" i="8"/>
  <c r="Y43" i="8"/>
  <c r="Q43" i="8"/>
  <c r="AW42" i="8"/>
  <c r="AO42" i="8"/>
  <c r="AG42" i="8"/>
  <c r="Y42" i="8"/>
  <c r="Q42" i="8"/>
  <c r="AW41" i="8"/>
  <c r="AM41" i="8"/>
  <c r="AB41" i="8"/>
  <c r="R41" i="8"/>
  <c r="BC40" i="8"/>
  <c r="AR40" i="8"/>
  <c r="AH40" i="8"/>
  <c r="W40" i="8"/>
  <c r="L40" i="8"/>
  <c r="AX39" i="8"/>
  <c r="AJ39" i="8"/>
  <c r="Y39" i="8"/>
  <c r="K39" i="8"/>
  <c r="AS38" i="8"/>
  <c r="AH38" i="8"/>
  <c r="T38" i="8"/>
  <c r="I38" i="8"/>
  <c r="AQ37" i="8"/>
  <c r="AC37" i="8"/>
  <c r="R37" i="8"/>
  <c r="AZ36" i="8"/>
  <c r="AO36" i="8"/>
  <c r="AA36" i="8"/>
  <c r="M36" i="8"/>
  <c r="AX35" i="8"/>
  <c r="AJ35" i="8"/>
  <c r="T35" i="8"/>
  <c r="AZ34" i="8"/>
  <c r="AJ34" i="8"/>
  <c r="T34" i="8"/>
  <c r="AY33" i="8"/>
  <c r="AC33" i="8"/>
  <c r="J33" i="8"/>
  <c r="AI32" i="8"/>
  <c r="M32" i="8"/>
  <c r="AP31" i="8"/>
  <c r="S31" i="8"/>
  <c r="AS30" i="8"/>
  <c r="Z30" i="8"/>
  <c r="AY29" i="8"/>
  <c r="AC29" i="8"/>
  <c r="AX28" i="8"/>
  <c r="R28" i="8"/>
  <c r="AG27" i="8"/>
  <c r="AR26" i="8"/>
  <c r="H26" i="8"/>
  <c r="P25" i="8"/>
  <c r="K24" i="8"/>
  <c r="AC22" i="8"/>
  <c r="AD20" i="8"/>
  <c r="AT17" i="8"/>
  <c r="T14" i="8"/>
  <c r="AO10" i="8"/>
  <c r="AK45" i="8"/>
  <c r="E4" i="8"/>
  <c r="AP46" i="8"/>
  <c r="AH46" i="8"/>
  <c r="Z46" i="8"/>
  <c r="R46" i="8"/>
  <c r="J46" i="8"/>
  <c r="AO46" i="8"/>
  <c r="AG46" i="8"/>
  <c r="Y46" i="8"/>
  <c r="Q46" i="8"/>
  <c r="I46" i="8"/>
  <c r="AL46" i="8"/>
  <c r="AD46" i="8"/>
  <c r="V46" i="8"/>
  <c r="N46" i="8"/>
  <c r="AS46" i="8"/>
  <c r="AK46" i="8"/>
  <c r="AC46" i="8"/>
  <c r="U46" i="8"/>
  <c r="M46" i="8"/>
  <c r="AR46" i="8"/>
  <c r="AJ46" i="8"/>
  <c r="AB46" i="8"/>
  <c r="T46" i="8"/>
  <c r="L46" i="8"/>
  <c r="AM46" i="8"/>
  <c r="P46" i="8"/>
  <c r="AI46" i="8"/>
  <c r="O46" i="8"/>
  <c r="AF46" i="8"/>
  <c r="K46" i="8"/>
  <c r="AE46" i="8"/>
  <c r="H46" i="8"/>
  <c r="AA46" i="8"/>
  <c r="X46" i="8"/>
  <c r="AQ46" i="8"/>
  <c r="W46" i="8"/>
  <c r="AN46" i="8"/>
  <c r="S46" i="8"/>
  <c r="AR47" i="8"/>
  <c r="AJ47" i="8"/>
  <c r="AB47" i="8"/>
  <c r="T47" i="8"/>
  <c r="L47" i="8"/>
  <c r="AQ47" i="8"/>
  <c r="AI47" i="8"/>
  <c r="AA47" i="8"/>
  <c r="S47" i="8"/>
  <c r="K47" i="8"/>
  <c r="AO47" i="8"/>
  <c r="AN47" i="8"/>
  <c r="AF47" i="8"/>
  <c r="X47" i="8"/>
  <c r="P47" i="8"/>
  <c r="H47" i="8"/>
  <c r="AM47" i="8"/>
  <c r="AE47" i="8"/>
  <c r="W47" i="8"/>
  <c r="O47" i="8"/>
  <c r="AL47" i="8"/>
  <c r="AD47" i="8"/>
  <c r="V47" i="8"/>
  <c r="N47" i="8"/>
  <c r="AS47" i="8"/>
  <c r="U47" i="8"/>
  <c r="AP47" i="8"/>
  <c r="R47" i="8"/>
  <c r="AK47" i="8"/>
  <c r="Q47" i="8"/>
  <c r="AH47" i="8"/>
  <c r="M47" i="8"/>
  <c r="AG47" i="8"/>
  <c r="J47" i="8"/>
  <c r="AC47" i="8"/>
  <c r="I47" i="8"/>
  <c r="Z47" i="8"/>
  <c r="Y47" i="8"/>
  <c r="AN45" i="8"/>
  <c r="AF45" i="8"/>
  <c r="X45" i="8"/>
  <c r="P45" i="8"/>
  <c r="H45" i="8"/>
  <c r="AM45" i="8"/>
  <c r="AE45" i="8"/>
  <c r="W45" i="8"/>
  <c r="O45" i="8"/>
  <c r="AR45" i="8"/>
  <c r="AJ45" i="8"/>
  <c r="AB45" i="8"/>
  <c r="T45" i="8"/>
  <c r="L45" i="8"/>
  <c r="AQ45" i="8"/>
  <c r="AI45" i="8"/>
  <c r="AA45" i="8"/>
  <c r="S45" i="8"/>
  <c r="K45" i="8"/>
  <c r="AP45" i="8"/>
  <c r="AH45" i="8"/>
  <c r="Z45" i="8"/>
  <c r="AG45" i="8"/>
  <c r="N45" i="8"/>
  <c r="AD45" i="8"/>
  <c r="M45" i="8"/>
  <c r="AC45" i="8"/>
  <c r="J45" i="8"/>
  <c r="Y45" i="8"/>
  <c r="I45" i="8"/>
  <c r="AS45" i="8"/>
  <c r="V45" i="8"/>
  <c r="AO45" i="8"/>
  <c r="U45" i="8"/>
  <c r="AL45" i="8"/>
  <c r="R45" i="8"/>
  <c r="Q45" i="8"/>
  <c r="AL48" i="8"/>
  <c r="AD48" i="8"/>
  <c r="V48" i="8"/>
  <c r="N48" i="8"/>
  <c r="AS48" i="8"/>
  <c r="AK48" i="8"/>
  <c r="AC48" i="8"/>
  <c r="U48" i="8"/>
  <c r="M48" i="8"/>
  <c r="AR48" i="8"/>
  <c r="AQ48" i="8"/>
  <c r="AI48" i="8"/>
  <c r="AA48" i="8"/>
  <c r="S48" i="8"/>
  <c r="K48" i="8"/>
  <c r="AP48" i="8"/>
  <c r="AH48" i="8"/>
  <c r="Z48" i="8"/>
  <c r="R48" i="8"/>
  <c r="J48" i="8"/>
  <c r="AO48" i="8"/>
  <c r="AG48" i="8"/>
  <c r="Y48" i="8"/>
  <c r="Q48" i="8"/>
  <c r="I48" i="8"/>
  <c r="AN48" i="8"/>
  <c r="AF48" i="8"/>
  <c r="X48" i="8"/>
  <c r="P48" i="8"/>
  <c r="H48" i="8"/>
  <c r="AM48" i="8"/>
  <c r="AJ48" i="8"/>
  <c r="AE48" i="8"/>
  <c r="AB48" i="8"/>
  <c r="W48" i="8"/>
  <c r="T48" i="8"/>
  <c r="O48" i="8"/>
  <c r="L48" i="8"/>
  <c r="I9" i="5"/>
  <c r="I15" i="5"/>
  <c r="I16" i="5"/>
  <c r="I12" i="5"/>
  <c r="I13" i="5"/>
  <c r="M13" i="1"/>
  <c r="M12" i="1"/>
  <c r="M11" i="1"/>
  <c r="M10" i="1"/>
  <c r="M9" i="1"/>
  <c r="M8" i="1"/>
  <c r="M7" i="1"/>
  <c r="M6" i="1"/>
  <c r="M5" i="1"/>
  <c r="M4" i="1"/>
  <c r="M2" i="1"/>
  <c r="M3" i="1"/>
  <c r="L2" i="1"/>
  <c r="L3" i="1"/>
  <c r="L4" i="1"/>
  <c r="L5" i="1"/>
  <c r="L6" i="1"/>
  <c r="L7" i="1"/>
  <c r="L8" i="1"/>
  <c r="L9" i="1"/>
  <c r="L10" i="1"/>
  <c r="L11" i="1"/>
  <c r="L12" i="1"/>
  <c r="L13" i="1"/>
  <c r="I2" i="1"/>
  <c r="I3" i="1"/>
  <c r="I4" i="1"/>
  <c r="I5" i="1"/>
  <c r="I6" i="1"/>
  <c r="I7" i="1"/>
  <c r="I8" i="1"/>
  <c r="I9" i="1"/>
  <c r="I10" i="1"/>
  <c r="I11" i="1"/>
  <c r="I12" i="1"/>
  <c r="I13" i="1"/>
  <c r="O2" i="1"/>
  <c r="Q2" i="1" s="1"/>
  <c r="O3" i="1"/>
  <c r="Q3" i="1" s="1"/>
  <c r="O4" i="1"/>
  <c r="Q4" i="1" s="1"/>
  <c r="O5" i="1"/>
  <c r="Q5" i="1" s="1"/>
  <c r="O6" i="1"/>
  <c r="Q6" i="1" s="1"/>
  <c r="O7" i="1"/>
  <c r="Q7" i="1" s="1"/>
  <c r="O8" i="1"/>
  <c r="Q8" i="1" s="1"/>
  <c r="O9" i="1"/>
  <c r="Q9" i="1" s="1"/>
  <c r="O10" i="1"/>
  <c r="Q10" i="1" s="1"/>
  <c r="O11" i="1"/>
  <c r="O12" i="1"/>
  <c r="Q12" i="1" s="1"/>
  <c r="O13" i="1"/>
  <c r="Q13" i="1" s="1"/>
  <c r="I18" i="5" l="1"/>
  <c r="E7" i="9" a="1"/>
  <c r="E7" i="9" s="1"/>
  <c r="I47" i="9"/>
  <c r="H47" i="9"/>
  <c r="G47" i="9"/>
  <c r="E6" i="9" a="1"/>
  <c r="E6" i="9" s="1"/>
  <c r="R3" i="1"/>
  <c r="R2" i="1"/>
  <c r="R4" i="1"/>
  <c r="R7" i="1"/>
  <c r="R6" i="1"/>
  <c r="R5" i="1"/>
  <c r="R8" i="1"/>
  <c r="Q11" i="1"/>
  <c r="R11" i="1" s="1"/>
  <c r="R12" i="1"/>
  <c r="R13" i="1"/>
  <c r="R10" i="1"/>
  <c r="R9" i="1"/>
  <c r="B54" i="9" l="1"/>
  <c r="C39" i="9"/>
  <c r="D39" i="9" s="1"/>
  <c r="E41" i="9"/>
  <c r="C38" i="9"/>
  <c r="D38" i="9" s="1"/>
  <c r="E40" i="9"/>
  <c r="C37" i="9"/>
  <c r="D37" i="9" s="1"/>
  <c r="E39" i="9"/>
  <c r="E38" i="9"/>
  <c r="E37" i="9"/>
  <c r="C41" i="9"/>
  <c r="D41" i="9" s="1"/>
  <c r="C40" i="9"/>
  <c r="D40" i="9" s="1"/>
  <c r="J27" i="9" a="1"/>
  <c r="J27" i="9" s="1"/>
  <c r="J28" i="9" a="1"/>
  <c r="J28" i="9" s="1"/>
  <c r="J29" i="9" a="1"/>
  <c r="J29" i="9" s="1"/>
  <c r="F6" i="9" a="1"/>
  <c r="F6" i="9" s="1"/>
  <c r="F7" i="9" a="1"/>
  <c r="F7" i="9" s="1"/>
  <c r="J30" i="9" a="1"/>
  <c r="J30"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<sst xmlns="http://schemas.openxmlformats.org/spreadsheetml/2006/main" count="2018" uniqueCount="551">
  <si>
    <t>Project_ID</t>
  </si>
  <si>
    <t>Project_Name</t>
  </si>
  <si>
    <t>Country</t>
  </si>
  <si>
    <t>Technology</t>
  </si>
  <si>
    <t>Status</t>
  </si>
  <si>
    <t>Start_Date</t>
  </si>
  <si>
    <t>End_Date</t>
  </si>
  <si>
    <t>Duration</t>
  </si>
  <si>
    <t>CAPEX</t>
  </si>
  <si>
    <t>OPEX_Annual</t>
  </si>
  <si>
    <t>Revenue_Annual</t>
  </si>
  <si>
    <t>ROI</t>
  </si>
  <si>
    <t>Capacity_MW</t>
  </si>
  <si>
    <t>Production_MWh</t>
  </si>
  <si>
    <t>Capacity_Factor</t>
  </si>
  <si>
    <t>Project_Manager</t>
  </si>
  <si>
    <t>Risk_Level</t>
  </si>
  <si>
    <t>Solar</t>
  </si>
  <si>
    <t>Wind</t>
  </si>
  <si>
    <t>Green Hydrogen</t>
  </si>
  <si>
    <t>Hybrid (Solar + Wind)</t>
  </si>
  <si>
    <t>Hybrid (Solar + Wind+Green Hydrogen)</t>
  </si>
  <si>
    <t>Hybrid (Solar + Green Hydrogen)</t>
  </si>
  <si>
    <t>Hybrid (Wind+Green Hydrogen)</t>
  </si>
  <si>
    <t>Planned</t>
  </si>
  <si>
    <t>In Progress</t>
  </si>
  <si>
    <t>Completed</t>
  </si>
  <si>
    <t>Low</t>
  </si>
  <si>
    <t>Medium</t>
  </si>
  <si>
    <t>High</t>
  </si>
  <si>
    <t>Task_ID</t>
  </si>
  <si>
    <t>Task_Name</t>
  </si>
  <si>
    <t>Owner</t>
  </si>
  <si>
    <t>Engineering</t>
  </si>
  <si>
    <t>Procurement</t>
  </si>
  <si>
    <t>Construction</t>
  </si>
  <si>
    <t>Commissioning</t>
  </si>
  <si>
    <t>Hybrid (Solar + Storage)</t>
  </si>
  <si>
    <t>Hybrid  (Wind + Storage)</t>
  </si>
  <si>
    <t>Hybrid (Solar + Wind + Storage)</t>
  </si>
  <si>
    <t>Hybrid (Solar + Wind + Green Hydrogen + Storage)</t>
  </si>
  <si>
    <t>France</t>
  </si>
  <si>
    <t>Portugal</t>
  </si>
  <si>
    <t>Golden Opportunity</t>
  </si>
  <si>
    <t>Germany</t>
  </si>
  <si>
    <t>Italy</t>
  </si>
  <si>
    <t>Spain</t>
  </si>
  <si>
    <t>Blue Sky Initiative</t>
  </si>
  <si>
    <t>Hybrid (Solar + Wind + Green Hydrogen)</t>
  </si>
  <si>
    <t>Ana</t>
  </si>
  <si>
    <t>Ricardo</t>
  </si>
  <si>
    <t>Miguel</t>
  </si>
  <si>
    <t>Mercedes</t>
  </si>
  <si>
    <t>Francisco</t>
  </si>
  <si>
    <t>Eva</t>
  </si>
  <si>
    <t>Technology_Type_Clean</t>
  </si>
  <si>
    <t>Feasibility Study</t>
  </si>
  <si>
    <t>Site preparation</t>
  </si>
  <si>
    <t>Panel installation</t>
  </si>
  <si>
    <t>Turbine installation</t>
  </si>
  <si>
    <t>Electrolyzer installation</t>
  </si>
  <si>
    <t>Grid integration</t>
  </si>
  <si>
    <t>Environmental Impact</t>
  </si>
  <si>
    <t>Assessment</t>
  </si>
  <si>
    <t>Operation &amp; Maintenance</t>
  </si>
  <si>
    <t>Site grading</t>
  </si>
  <si>
    <t>Maritime Transport</t>
  </si>
  <si>
    <t>Overland Transport</t>
  </si>
  <si>
    <t>Logistics</t>
  </si>
  <si>
    <t>Tower assembly</t>
  </si>
  <si>
    <t>Blade transport</t>
  </si>
  <si>
    <t>Grid connection</t>
  </si>
  <si>
    <t>Performance testing</t>
  </si>
  <si>
    <t>Storage H2</t>
  </si>
  <si>
    <t>Multi-tech</t>
  </si>
  <si>
    <t>Start_Offset</t>
  </si>
  <si>
    <t>Final_Priority</t>
  </si>
  <si>
    <t>Project_001</t>
  </si>
  <si>
    <t>Project_002</t>
  </si>
  <si>
    <t>Project_003</t>
  </si>
  <si>
    <t>Project_004</t>
  </si>
  <si>
    <t>Project_005</t>
  </si>
  <si>
    <t>Project_006</t>
  </si>
  <si>
    <t>Project_007</t>
  </si>
  <si>
    <t>Project_008</t>
  </si>
  <si>
    <t>Project_009</t>
  </si>
  <si>
    <t>Project_010</t>
  </si>
  <si>
    <t>Project_011</t>
  </si>
  <si>
    <t>Project_012</t>
  </si>
  <si>
    <t>Normandy Wind Park</t>
  </si>
  <si>
    <t>Adriatic Offshore Wind Farm</t>
  </si>
  <si>
    <t>Solar Farm Seville</t>
  </si>
  <si>
    <t>Andalusia Renewable Hub</t>
  </si>
  <si>
    <t>Alentejo Green Energy Hub</t>
  </si>
  <si>
    <t>Alentejo Solar Storage Project</t>
  </si>
  <si>
    <t>Southern Italy Energy Hub</t>
  </si>
  <si>
    <t>Solar Farm Valencia</t>
  </si>
  <si>
    <t>Spain Hydrogen Hub</t>
  </si>
  <si>
    <t>Iberia Hydrogen Hub</t>
  </si>
  <si>
    <t>CAPEX_MW</t>
  </si>
  <si>
    <t>Duration_days</t>
  </si>
  <si>
    <t>Price_MW</t>
  </si>
  <si>
    <t>Testing &amp; Validation</t>
  </si>
  <si>
    <t>Inverter installation &amp; testing</t>
  </si>
  <si>
    <t>Monitoring system installation</t>
  </si>
  <si>
    <t>Electrical substation installation</t>
  </si>
  <si>
    <t>SCADA system installation</t>
  </si>
  <si>
    <t>Hydrogen compression system</t>
  </si>
  <si>
    <t>Piping &amp; connections</t>
  </si>
  <si>
    <t>Electrolyzer testing &amp; commissioning</t>
  </si>
  <si>
    <t>Storage</t>
  </si>
  <si>
    <t>Battery system installation</t>
  </si>
  <si>
    <t>Inverter &amp; control system</t>
  </si>
  <si>
    <t>Battery testing &amp; commissioning</t>
  </si>
  <si>
    <t>Grid integration of storage</t>
  </si>
  <si>
    <t>Task_1</t>
  </si>
  <si>
    <t>Task_2</t>
  </si>
  <si>
    <t>Task_3</t>
  </si>
  <si>
    <t>Task_4</t>
  </si>
  <si>
    <t>Task_5</t>
  </si>
  <si>
    <t>Task_6</t>
  </si>
  <si>
    <t>Task_7</t>
  </si>
  <si>
    <t>Task_8</t>
  </si>
  <si>
    <t>Task_9</t>
  </si>
  <si>
    <t>Task_10</t>
  </si>
  <si>
    <t>Task_11</t>
  </si>
  <si>
    <t>Task_12</t>
  </si>
  <si>
    <t>Task_13</t>
  </si>
  <si>
    <t>Task_14</t>
  </si>
  <si>
    <t>Task_15</t>
  </si>
  <si>
    <t>Task_16</t>
  </si>
  <si>
    <t>Task_17</t>
  </si>
  <si>
    <t>Task_18</t>
  </si>
  <si>
    <t>Task_19</t>
  </si>
  <si>
    <t>Task_20</t>
  </si>
  <si>
    <t>Task_21</t>
  </si>
  <si>
    <t>Task_22</t>
  </si>
  <si>
    <t>Task_23</t>
  </si>
  <si>
    <t>Task_24</t>
  </si>
  <si>
    <t>Task_25</t>
  </si>
  <si>
    <t>Task_26</t>
  </si>
  <si>
    <t>Task_27</t>
  </si>
  <si>
    <t>Task_28</t>
  </si>
  <si>
    <t>Task_29</t>
  </si>
  <si>
    <t>Task_30</t>
  </si>
  <si>
    <t>Task_31</t>
  </si>
  <si>
    <t>Task_32</t>
  </si>
  <si>
    <t>Task_33</t>
  </si>
  <si>
    <t>Task_34</t>
  </si>
  <si>
    <t>Task_35</t>
  </si>
  <si>
    <t>Task_36</t>
  </si>
  <si>
    <t>Task_37</t>
  </si>
  <si>
    <t>Task_38</t>
  </si>
  <si>
    <t>Task_39</t>
  </si>
  <si>
    <t>Task_40</t>
  </si>
  <si>
    <t>Task_41</t>
  </si>
  <si>
    <t>Task_42</t>
  </si>
  <si>
    <t>Task_43</t>
  </si>
  <si>
    <t>Task_44</t>
  </si>
  <si>
    <t>Task_45</t>
  </si>
  <si>
    <t>Task_46</t>
  </si>
  <si>
    <t>Task_47</t>
  </si>
  <si>
    <t>Task_48</t>
  </si>
  <si>
    <t>Task_49</t>
  </si>
  <si>
    <t>Task_50</t>
  </si>
  <si>
    <t>Task_51</t>
  </si>
  <si>
    <t>Task_52</t>
  </si>
  <si>
    <t>Task_53</t>
  </si>
  <si>
    <t>Task_54</t>
  </si>
  <si>
    <t>Task_55</t>
  </si>
  <si>
    <t>Task_56</t>
  </si>
  <si>
    <t>Task_57</t>
  </si>
  <si>
    <t>Task_58</t>
  </si>
  <si>
    <t>Task_59</t>
  </si>
  <si>
    <t>Task_60</t>
  </si>
  <si>
    <t>Task_61</t>
  </si>
  <si>
    <t>Task_62</t>
  </si>
  <si>
    <t>Task_63</t>
  </si>
  <si>
    <t>Task_64</t>
  </si>
  <si>
    <t>Task_65</t>
  </si>
  <si>
    <t>Task_66</t>
  </si>
  <si>
    <t>Task_67</t>
  </si>
  <si>
    <t>Task_68</t>
  </si>
  <si>
    <t>Task_69</t>
  </si>
  <si>
    <t>Task_70</t>
  </si>
  <si>
    <t>Task_71</t>
  </si>
  <si>
    <t>Task_72</t>
  </si>
  <si>
    <t>Task_73</t>
  </si>
  <si>
    <t>Task_74</t>
  </si>
  <si>
    <t>Task_75</t>
  </si>
  <si>
    <t>Task_76</t>
  </si>
  <si>
    <t>Task_77</t>
  </si>
  <si>
    <t>Task_78</t>
  </si>
  <si>
    <t>Task_79</t>
  </si>
  <si>
    <t>Task_80</t>
  </si>
  <si>
    <t>Task_81</t>
  </si>
  <si>
    <t>Task_82</t>
  </si>
  <si>
    <t>Task_83</t>
  </si>
  <si>
    <t>Task_84</t>
  </si>
  <si>
    <t>Task_85</t>
  </si>
  <si>
    <t>Task_86</t>
  </si>
  <si>
    <t>Task_87</t>
  </si>
  <si>
    <t>Task_88</t>
  </si>
  <si>
    <t>Task_89</t>
  </si>
  <si>
    <t>Task_90</t>
  </si>
  <si>
    <t>Task_91</t>
  </si>
  <si>
    <t>Task_92</t>
  </si>
  <si>
    <t>Task_93</t>
  </si>
  <si>
    <t>Task_94</t>
  </si>
  <si>
    <t>Task_95</t>
  </si>
  <si>
    <t>Task_96</t>
  </si>
  <si>
    <t>Task_97</t>
  </si>
  <si>
    <t>Task_98</t>
  </si>
  <si>
    <t>Task_99</t>
  </si>
  <si>
    <t>Task_100</t>
  </si>
  <si>
    <t>Task_101</t>
  </si>
  <si>
    <t>Task_102</t>
  </si>
  <si>
    <t>Task_103</t>
  </si>
  <si>
    <t>Task_104</t>
  </si>
  <si>
    <t>Task_105</t>
  </si>
  <si>
    <t>Task_106</t>
  </si>
  <si>
    <t>Task_107</t>
  </si>
  <si>
    <t>Task_108</t>
  </si>
  <si>
    <t>Task_109</t>
  </si>
  <si>
    <t>Task_110</t>
  </si>
  <si>
    <t>Task_111</t>
  </si>
  <si>
    <t>Task_112</t>
  </si>
  <si>
    <t>Task_113</t>
  </si>
  <si>
    <t>Task_114</t>
  </si>
  <si>
    <t>Task_115</t>
  </si>
  <si>
    <t>Task_116</t>
  </si>
  <si>
    <t>Task_117</t>
  </si>
  <si>
    <t>Task_118</t>
  </si>
  <si>
    <t>Task_119</t>
  </si>
  <si>
    <t>Task_120</t>
  </si>
  <si>
    <t>Task_121</t>
  </si>
  <si>
    <t>Task_122</t>
  </si>
  <si>
    <t>Task_123</t>
  </si>
  <si>
    <t>Task_124</t>
  </si>
  <si>
    <t>Task_125</t>
  </si>
  <si>
    <t>Task_126</t>
  </si>
  <si>
    <t>Task_127</t>
  </si>
  <si>
    <t>Task_128</t>
  </si>
  <si>
    <t>Task_129</t>
  </si>
  <si>
    <t>Task_130</t>
  </si>
  <si>
    <t>Task_131</t>
  </si>
  <si>
    <t>Task_132</t>
  </si>
  <si>
    <t>Task_133</t>
  </si>
  <si>
    <t>Task_134</t>
  </si>
  <si>
    <t>Task_135</t>
  </si>
  <si>
    <t>Task_136</t>
  </si>
  <si>
    <t>Task_137</t>
  </si>
  <si>
    <t>Task_138</t>
  </si>
  <si>
    <t>Task_139</t>
  </si>
  <si>
    <t>Task_140</t>
  </si>
  <si>
    <t>Task_141</t>
  </si>
  <si>
    <t>Task_142</t>
  </si>
  <si>
    <t>Task_143</t>
  </si>
  <si>
    <t>Task_144</t>
  </si>
  <si>
    <t>Task_145</t>
  </si>
  <si>
    <t>Task_146</t>
  </si>
  <si>
    <t>Task_147</t>
  </si>
  <si>
    <t>Task_148</t>
  </si>
  <si>
    <t>Task_149</t>
  </si>
  <si>
    <t>Task_150</t>
  </si>
  <si>
    <t>Task_151</t>
  </si>
  <si>
    <t>Task_152</t>
  </si>
  <si>
    <t>Task_153</t>
  </si>
  <si>
    <t>Task_154</t>
  </si>
  <si>
    <t>Task_155</t>
  </si>
  <si>
    <t>Task_156</t>
  </si>
  <si>
    <t>Task_157</t>
  </si>
  <si>
    <t>Task_158</t>
  </si>
  <si>
    <t>Task_159</t>
  </si>
  <si>
    <t>Task_160</t>
  </si>
  <si>
    <t>Task_161</t>
  </si>
  <si>
    <t>Task_162</t>
  </si>
  <si>
    <t>Task_163</t>
  </si>
  <si>
    <t>Task_164</t>
  </si>
  <si>
    <t>Task_165</t>
  </si>
  <si>
    <t>Task_166</t>
  </si>
  <si>
    <t>Task_167</t>
  </si>
  <si>
    <t>Task_168</t>
  </si>
  <si>
    <t>Task_169</t>
  </si>
  <si>
    <t>Task_170</t>
  </si>
  <si>
    <t>Task_171</t>
  </si>
  <si>
    <t>Task_172</t>
  </si>
  <si>
    <t>Task_173</t>
  </si>
  <si>
    <t>Task_174</t>
  </si>
  <si>
    <t>Task_175</t>
  </si>
  <si>
    <t>Task_176</t>
  </si>
  <si>
    <t>Task_177</t>
  </si>
  <si>
    <t>Task_178</t>
  </si>
  <si>
    <t>Task_179</t>
  </si>
  <si>
    <t>Task_180</t>
  </si>
  <si>
    <t>Task_181</t>
  </si>
  <si>
    <t>Task_182</t>
  </si>
  <si>
    <t>Task_183</t>
  </si>
  <si>
    <t>Task_184</t>
  </si>
  <si>
    <t>Task_185</t>
  </si>
  <si>
    <t>Task_186</t>
  </si>
  <si>
    <t>Task_187</t>
  </si>
  <si>
    <t>Task_188</t>
  </si>
  <si>
    <t>Task_189</t>
  </si>
  <si>
    <t>Task_190</t>
  </si>
  <si>
    <t>Task_191</t>
  </si>
  <si>
    <t>Task_192</t>
  </si>
  <si>
    <t>Task_193</t>
  </si>
  <si>
    <t>Task_194</t>
  </si>
  <si>
    <t>Task_195</t>
  </si>
  <si>
    <t>Task_196</t>
  </si>
  <si>
    <t>Task_197</t>
  </si>
  <si>
    <t>Task_198</t>
  </si>
  <si>
    <t>Task_199</t>
  </si>
  <si>
    <t>Task_200</t>
  </si>
  <si>
    <t>Task_201</t>
  </si>
  <si>
    <t>Task_202</t>
  </si>
  <si>
    <t>Task_203</t>
  </si>
  <si>
    <t>Task_204</t>
  </si>
  <si>
    <t>Task_205</t>
  </si>
  <si>
    <t>Task_206</t>
  </si>
  <si>
    <t>Task_207</t>
  </si>
  <si>
    <t>Task_208</t>
  </si>
  <si>
    <t>Task_209</t>
  </si>
  <si>
    <t>Task_210</t>
  </si>
  <si>
    <t>Task_211</t>
  </si>
  <si>
    <t>Task_212</t>
  </si>
  <si>
    <t>Task_213</t>
  </si>
  <si>
    <t>Task_214</t>
  </si>
  <si>
    <t>Task_215</t>
  </si>
  <si>
    <t>Task_216</t>
  </si>
  <si>
    <t>Task_217</t>
  </si>
  <si>
    <t>Task_218</t>
  </si>
  <si>
    <t>Task_219</t>
  </si>
  <si>
    <t>Task_220</t>
  </si>
  <si>
    <t>Task_221</t>
  </si>
  <si>
    <t>Task_222</t>
  </si>
  <si>
    <t>Task_223</t>
  </si>
  <si>
    <t>Task_224</t>
  </si>
  <si>
    <t>Task_225</t>
  </si>
  <si>
    <t>Task_226</t>
  </si>
  <si>
    <t>Task_227</t>
  </si>
  <si>
    <t>Task_228</t>
  </si>
  <si>
    <t>Task_229</t>
  </si>
  <si>
    <t>Task_230</t>
  </si>
  <si>
    <t>Task_231</t>
  </si>
  <si>
    <t>Task_232</t>
  </si>
  <si>
    <t>Task_233</t>
  </si>
  <si>
    <t>Task_234</t>
  </si>
  <si>
    <t>Task_235</t>
  </si>
  <si>
    <t>Task_236</t>
  </si>
  <si>
    <t>Task_237</t>
  </si>
  <si>
    <t>Task_238</t>
  </si>
  <si>
    <t>Task_239</t>
  </si>
  <si>
    <t>Task_240</t>
  </si>
  <si>
    <t>Task_241</t>
  </si>
  <si>
    <t>Task_242</t>
  </si>
  <si>
    <t>Task_243</t>
  </si>
  <si>
    <t>Task_244</t>
  </si>
  <si>
    <t>Task_245</t>
  </si>
  <si>
    <t>Task_246</t>
  </si>
  <si>
    <t>Task_247</t>
  </si>
  <si>
    <t>Task_248</t>
  </si>
  <si>
    <t>Task_249</t>
  </si>
  <si>
    <t>Task_250</t>
  </si>
  <si>
    <t>Task_251</t>
  </si>
  <si>
    <t>Task_252</t>
  </si>
  <si>
    <t>Task_253</t>
  </si>
  <si>
    <t>Task_254</t>
  </si>
  <si>
    <t>Task_255</t>
  </si>
  <si>
    <t>Task_256</t>
  </si>
  <si>
    <t>Task_257</t>
  </si>
  <si>
    <t>Task_258</t>
  </si>
  <si>
    <t>Task_259</t>
  </si>
  <si>
    <t>Task_260</t>
  </si>
  <si>
    <t>Task_261</t>
  </si>
  <si>
    <t>Task_262</t>
  </si>
  <si>
    <t>Task_263</t>
  </si>
  <si>
    <t>Task_264</t>
  </si>
  <si>
    <t>Task_265</t>
  </si>
  <si>
    <t>Task_266</t>
  </si>
  <si>
    <t>Task_267</t>
  </si>
  <si>
    <t>Task_268</t>
  </si>
  <si>
    <t>Task_269</t>
  </si>
  <si>
    <t>Task_270</t>
  </si>
  <si>
    <t>Task_271</t>
  </si>
  <si>
    <t>Task_272</t>
  </si>
  <si>
    <t>Task_273</t>
  </si>
  <si>
    <t>Task_274</t>
  </si>
  <si>
    <t>Task_275</t>
  </si>
  <si>
    <t>Task_276</t>
  </si>
  <si>
    <t>Task_277</t>
  </si>
  <si>
    <t>Task_278</t>
  </si>
  <si>
    <t>Task_279</t>
  </si>
  <si>
    <t>Task_280</t>
  </si>
  <si>
    <t>Task_281</t>
  </si>
  <si>
    <t>Task_282</t>
  </si>
  <si>
    <t>Task_283</t>
  </si>
  <si>
    <t>Task_284</t>
  </si>
  <si>
    <t>Task_285</t>
  </si>
  <si>
    <t>Task_286</t>
  </si>
  <si>
    <t>Task_287</t>
  </si>
  <si>
    <t>Task_288</t>
  </si>
  <si>
    <t>Task_289</t>
  </si>
  <si>
    <t>Task_290</t>
  </si>
  <si>
    <t>Task_291</t>
  </si>
  <si>
    <t>Task_292</t>
  </si>
  <si>
    <t>Task_293</t>
  </si>
  <si>
    <t>Task_294</t>
  </si>
  <si>
    <t>Task_295</t>
  </si>
  <si>
    <t>Task_296</t>
  </si>
  <si>
    <t>Task_297</t>
  </si>
  <si>
    <t>Task_298</t>
  </si>
  <si>
    <t>Task_299</t>
  </si>
  <si>
    <t>Task_300</t>
  </si>
  <si>
    <t>Task_301</t>
  </si>
  <si>
    <t>Task_302</t>
  </si>
  <si>
    <t>Task_303</t>
  </si>
  <si>
    <t>Task_304</t>
  </si>
  <si>
    <t>Task_305</t>
  </si>
  <si>
    <t>Task_306</t>
  </si>
  <si>
    <t>Task_307</t>
  </si>
  <si>
    <t>Task_308</t>
  </si>
  <si>
    <t>Task_309</t>
  </si>
  <si>
    <t>Task_310</t>
  </si>
  <si>
    <t>Task_311</t>
  </si>
  <si>
    <t>Task_312</t>
  </si>
  <si>
    <t>Task_313</t>
  </si>
  <si>
    <t>Task_314</t>
  </si>
  <si>
    <t>Task_315</t>
  </si>
  <si>
    <t>Task_316</t>
  </si>
  <si>
    <t>Task_317</t>
  </si>
  <si>
    <t>Task_318</t>
  </si>
  <si>
    <t>Task_319</t>
  </si>
  <si>
    <t>Task_320</t>
  </si>
  <si>
    <t>Duration_Planned</t>
  </si>
  <si>
    <t>AVG ROI</t>
  </si>
  <si>
    <t>Phase</t>
  </si>
  <si>
    <t>Permitting</t>
  </si>
  <si>
    <t>Hybrid</t>
  </si>
  <si>
    <t>Technology:</t>
  </si>
  <si>
    <t>Start Date:</t>
  </si>
  <si>
    <t>End Date:</t>
  </si>
  <si>
    <t>Duration (days):</t>
  </si>
  <si>
    <t>Multi-tech (Hybrid):</t>
  </si>
  <si>
    <t>Solar:</t>
  </si>
  <si>
    <t>Wind:</t>
  </si>
  <si>
    <t>Green Hydrogen:</t>
  </si>
  <si>
    <t>Storage:</t>
  </si>
  <si>
    <t>Tech_Group</t>
  </si>
  <si>
    <t>Original_Priority</t>
  </si>
  <si>
    <t>Order_In_Phase</t>
  </si>
  <si>
    <t>Phase1</t>
  </si>
  <si>
    <t>Phase2_Solar</t>
  </si>
  <si>
    <t>Phase2_Wind</t>
  </si>
  <si>
    <t>Phase2_H2</t>
  </si>
  <si>
    <t>Phase2_Storage</t>
  </si>
  <si>
    <t>Phase3</t>
  </si>
  <si>
    <t>• Testing &amp; Validation</t>
  </si>
  <si>
    <t>• Commissioning</t>
  </si>
  <si>
    <t>• Grid integration</t>
  </si>
  <si>
    <t>• Grid connection</t>
  </si>
  <si>
    <t>• Performance testing</t>
  </si>
  <si>
    <t>• SCADA system installation</t>
  </si>
  <si>
    <t>• Operation &amp; Maintenance</t>
  </si>
  <si>
    <t>TASK GENERATOR</t>
  </si>
  <si>
    <t>Select Project:</t>
  </si>
  <si>
    <t>Selected Project:</t>
  </si>
  <si>
    <t>Technologies to Include:</t>
  </si>
  <si>
    <t>Total Tasks to Create:</t>
  </si>
  <si>
    <t>Existing Tasks:</t>
  </si>
  <si>
    <t>ACTION:</t>
  </si>
  <si>
    <t>HOW TO USE:</t>
  </si>
  <si>
    <t>1. Select the Project_ID in I3</t>
  </si>
  <si>
    <t>2. Check the identified technologies (✓)</t>
  </si>
  <si>
    <t>3. Choose the Action in I21:</t>
  </si>
  <si>
    <t xml:space="preserve">   • Replace: Removes existing tasks</t>
  </si>
  <si>
    <t xml:space="preserve">   • Add: Keeps existing tasks</t>
  </si>
  <si>
    <t xml:space="preserve">   • Cancel: Does nothing</t>
  </si>
  <si>
    <t>Note: Dates are fixed values</t>
  </si>
  <si>
    <t>based on project Start/End dates.</t>
  </si>
  <si>
    <t>TASK STRUCTURE:</t>
  </si>
  <si>
    <t>Phase 1 (55%): Multi-tech Initial (1-10)</t>
  </si>
  <si>
    <t>Phase 2 (25%): Solar, Wind, H2, Storage</t>
  </si>
  <si>
    <t>Phase 3 (20%): Multi-tech Final (Always last)</t>
  </si>
  <si>
    <t>Final Tasks (always last):</t>
  </si>
  <si>
    <t>Add</t>
  </si>
  <si>
    <t>Project Name:</t>
  </si>
  <si>
    <t>% Complete:</t>
  </si>
  <si>
    <t>Project Manager:</t>
  </si>
  <si>
    <t>Filter Technology:</t>
  </si>
  <si>
    <t>All</t>
  </si>
  <si>
    <t>LEGEND:</t>
  </si>
  <si>
    <t>H2</t>
  </si>
  <si>
    <t>#</t>
  </si>
  <si>
    <t>Task Name</t>
  </si>
  <si>
    <t>Start</t>
  </si>
  <si>
    <t>End</t>
  </si>
  <si>
    <t>Days</t>
  </si>
  <si>
    <t>📍 TODAY:</t>
  </si>
  <si>
    <t>Total Tasks:</t>
  </si>
  <si>
    <t>Project Status:</t>
  </si>
  <si>
    <t>Risk Level:</t>
  </si>
  <si>
    <t>GANTT CHART - ENERGY PMO</t>
  </si>
  <si>
    <t>TIP: Select a project from dropdown A4 and filter by technology in B6. Red line = TODAY</t>
  </si>
  <si>
    <t>(▼ marca o mês atual)</t>
  </si>
  <si>
    <t>▼</t>
  </si>
  <si>
    <t>Renewable Energy Projects Portfolio</t>
  </si>
  <si>
    <t>TOTAL CAPEX</t>
  </si>
  <si>
    <t>PROJECTS</t>
  </si>
  <si>
    <t>COMPLETED</t>
  </si>
  <si>
    <t>Count</t>
  </si>
  <si>
    <t>CAPEX (M€)</t>
  </si>
  <si>
    <t>Project</t>
  </si>
  <si>
    <t>Risk Level</t>
  </si>
  <si>
    <t>Projects</t>
  </si>
  <si>
    <t>CAPEX at Risk</t>
  </si>
  <si>
    <t>🔴 High</t>
  </si>
  <si>
    <t>🟡 Medium</t>
  </si>
  <si>
    <t>🟢 Low</t>
  </si>
  <si>
    <t>👤 PROJECTS BY MANAGER</t>
  </si>
  <si>
    <t>Manager</t>
  </si>
  <si>
    <t>Total CAPEX</t>
  </si>
  <si>
    <t>📅 PROJECT TIMELINE</t>
  </si>
  <si>
    <t>Metric</t>
  </si>
  <si>
    <t>Earliest</t>
  </si>
  <si>
    <t>Latest</t>
  </si>
  <si>
    <t>Average</t>
  </si>
  <si>
    <t>Start Date</t>
  </si>
  <si>
    <t>Duration (days)</t>
  </si>
  <si>
    <t>EXECUTIVE SUMMARY</t>
  </si>
  <si>
    <t>ENERGY PMO DASHBOARD</t>
  </si>
  <si>
    <t>CAPEX BY TECHNOLOGY</t>
  </si>
  <si>
    <t>CAPEX BY COUNTRY</t>
  </si>
  <si>
    <t>Last Updated:</t>
  </si>
  <si>
    <t>RISK OVERVIEW</t>
  </si>
  <si>
    <t>CAPACITY</t>
  </si>
  <si>
    <t>TOP 5 PROJECTS BY ROI</t>
  </si>
  <si>
    <t>N/A</t>
  </si>
  <si>
    <t>AVG PRODUCTION</t>
  </si>
  <si>
    <t>Capacity MW</t>
  </si>
  <si>
    <t>End Date</t>
  </si>
  <si>
    <t>STATUS</t>
  </si>
  <si>
    <t>CAPACITY BY TECHNOLOGY</t>
  </si>
  <si>
    <t>Status:</t>
  </si>
  <si>
    <t>Country:</t>
  </si>
  <si>
    <t>Manager:</t>
  </si>
  <si>
    <t>CONTROLS</t>
  </si>
  <si>
    <t>CAPEX vs ROI BY TECHNOLOGY</t>
  </si>
  <si>
    <r>
      <t>4. Run the generation script - Run MACRO in Sheet Tasks (</t>
    </r>
    <r>
      <rPr>
        <b/>
        <sz val="10"/>
        <color theme="1"/>
        <rFont val="Aptos Narrow"/>
        <family val="2"/>
        <scheme val="minor"/>
      </rPr>
      <t>Button: GENERATE TASKS</t>
    </r>
    <r>
      <rPr>
        <sz val="10"/>
        <color theme="1"/>
        <rFont val="Aptos Narrow"/>
        <family val="2"/>
        <scheme val="minor"/>
      </rPr>
      <t>)</t>
    </r>
  </si>
  <si>
    <t xml:space="preserve">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</si>
</sst>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quot;€&quot;"/>
    <numFmt numFmtId="165" formatCode="yyyy\-mm\-dd;@"/>
    <numFmt numFmtId="166" formatCode="0.0"/>
    <numFmt numFmtId="167" formatCode="dd/mm/yy"/>
    <numFmt numFmtId="168" formatCode="#,##0\ \€"/>
  </numFmts>
  <fonts count="31"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b/>
      <sz val="11"/>
      <color theme="0"/>
      <name val="Aptos Narrow"/>
      <family val="2"/>
      <scheme val="minor"/>
    </font>
    <font>
      <sz val="11"/>
      <color theme="0"/>
      <name val="Aptos Narrow"/>
      <family val="2"/>
      <scheme val="minor"/>
    </font>
    <font>
      <b/>
      <sz val="14"/>
      <color theme="1"/>
      <name val="Aptos Narrow"/>
      <family val="2"/>
      <scheme val="minor"/>
    </font>
    <font>
      <b/>
      <sz val="14"/>
      <color rgb="FFFFFFFF"/>
      <name val="Aptos Narrow"/>
      <family val="2"/>
      <scheme val="minor"/>
    </font>
    <font>
      <b/>
      <sz val="12"/>
      <color theme="1"/>
      <name val="Aptos Narrow"/>
      <family val="2"/>
      <scheme val="minor"/>
    </font>
    <font>
      <sz val="10"/>
      <color theme="1"/>
      <name val="Aptos Narrow"/>
      <family val="2"/>
      <scheme val="minor"/>
    </font>
    <font>
      <sz val="9"/>
      <color theme="1"/>
      <name val="Aptos Narrow"/>
      <family val="2"/>
      <scheme val="minor"/>
    </font>
    <font>
      <b/>
      <sz val="11"/>
      <color rgb="FFFFFFFF"/>
      <name val="Aptos Narrow"/>
      <family val="2"/>
      <scheme val="minor"/>
    </font>
    <font>
      <b/>
      <sz val="18"/>
      <color rgb="FFFFFFFF"/>
      <name val="Aptos Narrow"/>
      <family val="2"/>
      <scheme val="minor"/>
    </font>
    <font>
      <b/>
      <sz val="11"/>
      <color rgb="FFFF0000"/>
      <name val="Aptos Narrow"/>
      <family val="2"/>
      <scheme val="minor"/>
    </font>
    <font>
      <i/>
      <sz val="11"/>
      <color rgb="FF666666"/>
      <name val="Aptos Narrow"/>
      <family val="2"/>
      <scheme val="minor"/>
    </font>
    <font>
      <b/>
      <sz val="14"/>
      <color rgb="FFFF0000"/>
      <name val="Aptos Narrow"/>
      <family val="2"/>
      <scheme val="minor"/>
    </font>
    <font>
      <i/>
      <sz val="9"/>
      <color rgb="FF666666"/>
      <name val="Aptos Narrow"/>
      <family val="2"/>
      <scheme val="minor"/>
    </font>
    <font>
      <i/>
      <sz val="12"/>
      <color rgb="FF666666"/>
      <name val="Aptos Narrow"/>
      <family val="2"/>
      <scheme val="minor"/>
    </font>
    <font>
      <b/>
      <sz val="10"/>
      <color theme="1"/>
      <name val="Aptos Narrow"/>
      <family val="2"/>
      <scheme val="minor"/>
    </font>
    <font>
      <b/>
      <sz val="10"/>
      <color rgb="FF666666"/>
      <name val="Aptos Narrow"/>
      <family val="2"/>
      <scheme val="minor"/>
    </font>
    <font>
      <b/>
      <sz val="24"/>
      <color rgb="FF1F4E79"/>
      <name val="Aptos Narrow"/>
      <family val="2"/>
      <scheme val="minor"/>
    </font>
    <font>
      <b/>
      <sz val="10"/>
      <color rgb="FFFFFFFF"/>
      <name val="Aptos Narrow"/>
      <family val="2"/>
      <scheme val="minor"/>
    </font>
    <font>
      <b/>
      <sz val="9"/>
      <color theme="1"/>
      <name val="Aptos Narrow"/>
      <family val="2"/>
      <scheme val="minor"/>
    </font>
    <font>
      <b/>
      <sz val="16"/>
      <color theme="1"/>
      <name val="Aptos Narrow"/>
      <family val="2"/>
      <scheme val="minor"/>
    </font>
    <font>
      <sz val="9"/>
      <color rgb="FF666666"/>
      <name val="Aptos Narrow"/>
      <family val="2"/>
      <scheme val="minor"/>
    </font>
    <font>
      <b/>
      <sz val="12"/>
      <color rgb="FFFFFFFF"/>
      <name val="Aptos Narrow"/>
      <family val="2"/>
      <scheme val="minor"/>
    </font>
    <font>
      <i/>
      <sz val="8"/>
      <color rgb="FF666666"/>
      <name val="Aptos Narrow"/>
      <family val="2"/>
      <scheme val="minor"/>
    </font>
    <font>
      <b/>
      <sz val="12"/>
      <color theme="0"/>
      <name val="Aptos Narrow"/>
      <family val="2"/>
      <scheme val="minor"/>
    </font>
    <font>
      <b/>
      <i/>
      <sz val="11"/>
      <color theme="1"/>
      <name val="Aptos Narrow"/>
      <family val="2"/>
      <scheme val="minor"/>
    </font>
    <font>
      <sz val="11"/>
      <color rgb="FF000000"/>
      <name val="Aptos Narrow"/>
      <family val="2"/>
    </font>
    <font>
      <b/>
      <sz val="11"/>
      <color rgb="FF000000"/>
      <name val="Aptos Narrow"/>
      <family val="2"/>
    </font>
  </fonts>
  <fills count="23">
    <fill>
      <patternFill patternType="none"/>
    </fill>
    <fill>
      <patternFill patternType="gray125"/>
    </fill>
    <fill>
      <patternFill patternType="solid">
        <fgColor rgb="FFFFF2CC"/>
        <bgColor indexed="64"/>
      </patternFill>
    </fill>
    <fill>
      <patternFill patternType="solid">
        <fgColor rgb="FF70AD47"/>
        <bgColor indexed="64"/>
      </patternFill>
    </fill>
    <fill>
      <patternFill patternType="solid">
        <fgColor rgb="FFE2EFDA"/>
        <bgColor indexed="64"/>
      </patternFill>
    </fill>
    <fill>
      <patternFill patternType="solid">
        <fgColor rgb="FF7030A0"/>
        <bgColor indexed="64"/>
      </patternFill>
    </fill>
    <fill>
      <patternFill patternType="solid">
        <fgColor theme="3" tint="0.499984740745262"/>
        <bgColor indexed="64"/>
      </patternFill>
    </fill>
    <fill>
      <patternFill patternType="solid">
        <fgColor theme="2"/>
        <bgColor indexed="64"/>
      </patternFill>
    </fill>
    <fill>
      <patternFill patternType="solid">
        <fgColor rgb="FF1F4E79"/>
        <bgColor indexed="64"/>
      </patternFill>
    </fill>
    <fill>
      <patternFill patternType="solid">
        <fgColor rgb="FFD6DCE5"/>
        <bgColor indexed="64"/>
      </patternFill>
    </fill>
    <fill>
      <patternFill patternType="solid">
        <fgColor rgb="FF92D050"/>
        <bgColor indexed="64"/>
      </patternFill>
    </fill>
    <fill>
      <patternFill patternType="solid">
        <fgColor rgb="FF00B0F0"/>
        <bgColor indexed="64"/>
      </patternFill>
    </fill>
    <fill>
      <patternFill patternType="solid">
        <fgColor rgb="FFD9D9D9"/>
        <bgColor indexed="64"/>
      </patternFill>
    </fill>
    <fill>
      <patternFill patternType="solid">
        <fgColor rgb="FF7F7F7F"/>
        <bgColor indexed="64"/>
      </patternFill>
    </fill>
    <fill>
      <patternFill patternType="solid">
        <fgColor rgb="FFFFD966"/>
        <bgColor indexed="64"/>
      </patternFill>
    </fill>
    <fill>
      <patternFill patternType="solid">
        <fgColor rgb="FF5B9BD5"/>
        <bgColor indexed="64"/>
      </patternFill>
    </fill>
    <fill>
      <patternFill patternType="solid">
        <fgColor rgb="FF2E75B6"/>
        <bgColor indexed="64"/>
      </patternFill>
    </fill>
    <fill>
      <patternFill patternType="solid">
        <fgColor rgb="FFF5F5F5"/>
        <bgColor indexed="64"/>
      </patternFill>
    </fill>
    <fill>
      <patternFill patternType="solid">
        <fgColor rgb="FFF2F2F2"/>
        <bgColor indexed="64"/>
      </patternFill>
    </fill>
    <fill>
      <patternFill patternType="solid">
        <fgColor rgb="FFC6EFCE"/>
        <bgColor indexed="64"/>
      </patternFill>
    </fill>
    <fill>
      <patternFill patternType="solid">
        <fgColor rgb="FFDEEBF7"/>
        <bgColor indexed="64"/>
      </patternFill>
    </fill>
    <fill>
      <patternFill patternType="solid">
        <fgColor rgb="FFFFCCCC"/>
        <bgColor indexed="64"/>
      </patternFill>
    </fill>
    <fill>
      <patternFill patternType="solid">
        <fgColor rgb="FFD9E2F3"/>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style="thin">
        <color auto="1"/>
      </right>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rgb="FFD9D9D9"/>
      </bottom>
      <diagonal/>
    </border>
    <border>
      <left style="thin">
        <color rgb="FFD9D9D9"/>
      </left>
      <right/>
      <top style="thin">
        <color rgb="FFD9D9D9"/>
      </top>
      <bottom style="thin">
        <color indexed="64"/>
      </bottom>
      <diagonal/>
    </border>
    <border>
      <left style="thin">
        <color indexed="64"/>
      </left>
      <right/>
      <top/>
      <bottom style="thin">
        <color rgb="FFE0E0E0"/>
      </bottom>
      <diagonal/>
    </border>
    <border>
      <left/>
      <right/>
      <top/>
      <bottom style="thin">
        <color rgb="FFE0E0E0"/>
      </bottom>
      <diagonal/>
    </border>
    <border>
      <left style="thin">
        <color indexed="64"/>
      </left>
      <right/>
      <top style="thin">
        <color rgb="FFE0E0E0"/>
      </top>
      <bottom style="thin">
        <color rgb="FFE0E0E0"/>
      </bottom>
      <diagonal/>
    </border>
    <border>
      <left/>
      <right/>
      <top style="thin">
        <color rgb="FFE0E0E0"/>
      </top>
      <bottom style="thin">
        <color rgb="FFE0E0E0"/>
      </bottom>
      <diagonal/>
    </border>
    <border>
      <left style="thin">
        <color indexed="64"/>
      </left>
      <right/>
      <top style="thin">
        <color rgb="FFE0E0E0"/>
      </top>
      <bottom/>
      <diagonal/>
    </border>
    <border>
      <left/>
      <right/>
      <top style="thin">
        <color rgb="FFE0E0E0"/>
      </top>
      <bottom/>
      <diagonal/>
    </border>
    <border>
      <left/>
      <right/>
      <top/>
      <bottom style="medium">
        <color indexed="64"/>
      </bottom>
      <diagonal/>
    </border>
    <border>
      <left style="thick">
        <color rgb="FFFF0000"/>
      </left>
      <right style="thick">
        <color rgb="FFFF0000"/>
      </right>
      <top/>
      <bottom style="thin">
        <color rgb="FFE0E0E0"/>
      </bottom>
      <diagonal/>
    </border>
    <border>
      <left style="thin">
        <color rgb="FF2E7D32"/>
      </left>
      <right/>
      <top style="thin">
        <color rgb="FF2E7D32"/>
      </top>
      <bottom/>
      <diagonal/>
    </border>
    <border>
      <left style="thin">
        <color rgb="FF2E7D32"/>
      </left>
      <right/>
      <top/>
      <bottom/>
      <diagonal/>
    </border>
    <border>
      <left style="thin">
        <color rgb="FF2E7D32"/>
      </left>
      <right/>
      <top/>
      <bottom style="thin">
        <color rgb="FF2E7D32"/>
      </bottom>
      <diagonal/>
    </border>
    <border>
      <left/>
      <right style="thin">
        <color rgb="FF2E7D32"/>
      </right>
      <top style="thin">
        <color rgb="FF2E7D32"/>
      </top>
      <bottom/>
      <diagonal/>
    </border>
    <border>
      <left/>
      <right style="thin">
        <color rgb="FF2E7D32"/>
      </right>
      <top/>
      <bottom/>
      <diagonal/>
    </border>
    <border>
      <left/>
      <right style="thin">
        <color rgb="FF2E7D32"/>
      </right>
      <top/>
      <bottom style="thin">
        <color rgb="FF2E7D32"/>
      </bottom>
      <diagonal/>
    </border>
    <border>
      <left style="thin">
        <color rgb="FF1565C0"/>
      </left>
      <right/>
      <top style="thin">
        <color rgb="FF1565C0"/>
      </top>
      <bottom/>
      <diagonal/>
    </border>
    <border>
      <left style="thin">
        <color rgb="FF1565C0"/>
      </left>
      <right/>
      <top style="thin">
        <color indexed="64"/>
      </top>
      <bottom/>
      <diagonal/>
    </border>
    <border>
      <left style="thin">
        <color rgb="FF1565C0"/>
      </left>
      <right/>
      <top/>
      <bottom/>
      <diagonal/>
    </border>
    <border>
      <left style="thin">
        <color rgb="FF1565C0"/>
      </left>
      <right/>
      <top/>
      <bottom style="thin">
        <color rgb="FF1565C0"/>
      </bottom>
      <diagonal/>
    </border>
    <border>
      <left/>
      <right style="thin">
        <color rgb="FF1565C0"/>
      </right>
      <top style="thin">
        <color rgb="FF1565C0"/>
      </top>
      <bottom/>
      <diagonal/>
    </border>
    <border>
      <left/>
      <right style="thin">
        <color rgb="FF1565C0"/>
      </right>
      <top style="thin">
        <color indexed="64"/>
      </top>
      <bottom/>
      <diagonal/>
    </border>
    <border>
      <left/>
      <right style="thin">
        <color rgb="FF1565C0"/>
      </right>
      <top/>
      <bottom/>
      <diagonal/>
    </border>
    <border>
      <left/>
      <right style="thin">
        <color rgb="FF1565C0"/>
      </right>
      <top/>
      <bottom style="thin">
        <color rgb="FF1565C0"/>
      </bottom>
      <diagonal/>
    </border>
  </borders>
  <cellStyleXfs count="2">
    <xf numFmtId="0" fontId="0" fillId="0" borderId="0"/>
    <xf numFmtId="9" fontId="1" fillId="0" borderId="0" applyFont="0" applyFill="0" applyBorder="0" applyAlignment="0" applyProtection="0"/>
  </cellStyleXfs>
  <cellXfs count="138">
    <xf numFmtId="0" fontId="0" fillId="0" borderId="0" xfId="0"/>
    <xf numFmtId="0" fontId="0" fillId="0" borderId="0" xfId="0" applyAlignment="1">
      <alignment vertical="center"/>
    </xf>
    <xf numFmtId="0" fontId="0" fillId="0" borderId="0" xfId="0"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9" fontId="0" fillId="0" borderId="0" xfId="1" applyFont="1"/>
    <xf numFmtId="164" fontId="0" fillId="0" borderId="0" xfId="0" applyNumberFormat="1"/>
    <xf numFmtId="3" fontId="0" fillId="0" borderId="0" xfId="0" applyNumberFormat="1"/>
    <xf numFmtId="0" fontId="0" fillId="0" borderId="0" xfId="0" applyAlignment="1">
      <alignment horizontal="right"/>
    </xf>
    <xf numFmtId="14" fontId="0" fillId="0" borderId="0" xfId="0" applyNumberFormat="1" applyAlignment="1">
      <alignment horizontal="right"/>
    </xf>
    <xf numFmtId="165" fontId="0" fillId="0" borderId="0" xfId="0" applyNumberFormat="1" applyAlignment="1">
      <alignment horizontal="right"/>
    </xf>
    <xf numFmtId="0" fontId="0" fillId="0" borderId="0" xfId="0" applyAlignment="1">
      <alignment horizontal="right" vertical="center"/>
    </xf>
    <xf numFmtId="14" fontId="0" fillId="0" borderId="0" xfId="0" applyNumberFormat="1" applyAlignment="1">
      <alignment vertical="center"/>
    </xf>
    <xf numFmtId="165" fontId="0" fillId="0" borderId="5" xfId="0" applyNumberFormat="1" applyBorder="1" applyAlignment="1">
      <alignment horizontal="right"/>
    </xf>
    <xf numFmtId="14" fontId="0" fillId="0" borderId="5" xfId="0" applyNumberFormat="1" applyBorder="1" applyAlignment="1">
      <alignment horizontal="right"/>
    </xf>
    <xf numFmtId="1" fontId="0" fillId="0" borderId="0" xfId="0" applyNumberFormat="1"/>
    <xf numFmtId="0" fontId="0" fillId="0" borderId="0" xfId="0" applyAlignment="1" applyProtection="1">
      <alignment horizontal="center" vertical="center"/>
    </xf>
    <xf numFmtId="14" fontId="0" fillId="0" borderId="0" xfId="0" applyNumberFormat="1" applyAlignment="1" applyProtection="1">
      <alignment horizontal="center" vertical="center"/>
    </xf>
    <xf numFmtId="0" fontId="0" fillId="0" borderId="0" xfId="0" applyAlignment="1" applyProtection="1">
      <alignment horizontal="center"/>
    </xf>
    <xf numFmtId="0" fontId="0" fillId="0" borderId="0" xfId="0" applyAlignment="1" applyProtection="1">
      <alignment vertical="center"/>
    </xf>
    <xf numFmtId="0" fontId="0" fillId="0" borderId="0" xfId="0" applyAlignment="1" applyProtection="1">
      <alignment horizontal="right" vertical="center"/>
    </xf>
    <xf numFmtId="0" fontId="0" fillId="0" borderId="0" xfId="0" applyAlignment="1" applyProtection="1">
      <alignment horizontal="right" vertical="center" wrapText="1"/>
    </xf>
    <xf numFmtId="14" fontId="0" fillId="0" borderId="0" xfId="0" applyNumberFormat="1" applyAlignment="1" applyProtection="1">
      <alignment vertical="center"/>
    </xf>
    <xf numFmtId="166" fontId="0" fillId="0" borderId="0" xfId="0" applyNumberFormat="1" applyAlignment="1" applyProtection="1">
      <alignment vertical="center"/>
    </xf>
    <xf numFmtId="1" fontId="0" fillId="0" borderId="0" xfId="0" applyNumberFormat="1" applyAlignment="1" applyProtection="1">
      <alignment vertical="center"/>
    </xf>
    <xf numFmtId="0" fontId="4" fillId="6" borderId="1" xfId="0" applyFont="1" applyFill="1" applyBorder="1" applyAlignment="1" applyProtection="1">
      <alignment horizontal="center" vertical="center"/>
    </xf>
    <xf numFmtId="0" fontId="7" fillId="6" borderId="0" xfId="0" applyFont="1" applyFill="1" applyAlignment="1" applyProtection="1">
      <alignment vertical="center"/>
    </xf>
    <xf numFmtId="0" fontId="0" fillId="0" borderId="1" xfId="0" applyBorder="1" applyAlignment="1" applyProtection="1">
      <alignment vertical="center"/>
    </xf>
    <xf numFmtId="0" fontId="0" fillId="0" borderId="3" xfId="0" applyBorder="1" applyAlignment="1" applyProtection="1">
      <alignment vertical="center"/>
    </xf>
    <xf numFmtId="0" fontId="2" fillId="4" borderId="0" xfId="0" applyFont="1" applyFill="1" applyAlignment="1" applyProtection="1">
      <alignment vertical="center"/>
    </xf>
    <xf numFmtId="0" fontId="2" fillId="0" borderId="0" xfId="0" applyFont="1" applyAlignment="1" applyProtection="1">
      <alignment vertical="center"/>
    </xf>
    <xf numFmtId="0" fontId="0" fillId="0" borderId="4" xfId="0" applyBorder="1" applyAlignment="1" applyProtection="1">
      <alignment vertical="center"/>
    </xf>
    <xf numFmtId="0" fontId="0" fillId="0" borderId="2" xfId="0" applyBorder="1" applyAlignment="1" applyProtection="1">
      <alignment vertical="center"/>
    </xf>
    <xf numFmtId="0" fontId="6" fillId="0" borderId="0" xfId="0" applyFont="1" applyAlignment="1" applyProtection="1">
      <alignment vertical="center"/>
    </xf>
    <xf numFmtId="0" fontId="8" fillId="7" borderId="0" xfId="0" applyFont="1" applyFill="1" applyAlignment="1" applyProtection="1">
      <alignment vertical="center"/>
    </xf>
    <xf numFmtId="0" fontId="11" fillId="0" borderId="0" xfId="0" applyFont="1" applyAlignment="1" applyProtection="1">
      <alignment vertical="center"/>
    </xf>
    <xf numFmtId="0" fontId="9" fillId="0" borderId="0" xfId="0" applyFont="1" applyAlignment="1" applyProtection="1">
      <alignment vertical="center"/>
    </xf>
    <xf numFmtId="0" fontId="28" fillId="0" borderId="0" xfId="0" applyFont="1" applyAlignment="1" applyProtection="1">
      <alignment vertical="center"/>
    </xf>
    <xf numFmtId="0" fontId="10" fillId="0" borderId="0" xfId="0" applyFont="1" applyAlignment="1" applyProtection="1">
      <alignment vertical="center"/>
    </xf>
    <xf numFmtId="0" fontId="0" fillId="2" borderId="13" xfId="0" applyFill="1" applyBorder="1" applyAlignment="1" applyProtection="1">
      <alignment vertical="center"/>
      <protection locked="0"/>
    </xf>
    <xf numFmtId="0" fontId="0" fillId="2" borderId="0" xfId="0" applyFill="1" applyAlignment="1" applyProtection="1">
      <alignment vertical="center"/>
      <protection locked="0"/>
    </xf>
    <xf numFmtId="0" fontId="12" fillId="6" borderId="0" xfId="0" applyFont="1" applyFill="1" applyAlignment="1" applyProtection="1">
      <alignment horizontal="center" vertical="center"/>
    </xf>
    <xf numFmtId="0" fontId="2" fillId="9" borderId="0" xfId="0" applyFont="1" applyFill="1" applyAlignment="1" applyProtection="1">
      <alignment vertical="center"/>
    </xf>
    <xf numFmtId="0" fontId="0" fillId="0" borderId="29" xfId="0" applyBorder="1" applyAlignment="1" applyProtection="1">
      <alignment vertical="center"/>
    </xf>
    <xf numFmtId="14" fontId="0" fillId="0" borderId="29" xfId="0" applyNumberFormat="1" applyBorder="1" applyAlignment="1" applyProtection="1">
      <alignment vertical="center"/>
    </xf>
    <xf numFmtId="9" fontId="0" fillId="0" borderId="29" xfId="0" applyNumberFormat="1" applyBorder="1" applyAlignment="1" applyProtection="1">
      <alignment vertical="center"/>
    </xf>
    <xf numFmtId="0" fontId="14" fillId="0" borderId="0" xfId="0" applyFont="1" applyAlignment="1" applyProtection="1">
      <alignment vertical="center"/>
    </xf>
    <xf numFmtId="0" fontId="0" fillId="10" borderId="0" xfId="0" applyFill="1" applyAlignment="1" applyProtection="1">
      <alignment vertical="center"/>
    </xf>
    <xf numFmtId="0" fontId="0" fillId="11" borderId="0" xfId="0" applyFill="1" applyAlignment="1" applyProtection="1">
      <alignment vertical="center"/>
    </xf>
    <xf numFmtId="0" fontId="0" fillId="12" borderId="0" xfId="0" applyFill="1" applyAlignment="1" applyProtection="1">
      <alignment vertical="center"/>
    </xf>
    <xf numFmtId="0" fontId="11" fillId="13" borderId="0" xfId="0" applyFont="1" applyFill="1" applyAlignment="1" applyProtection="1">
      <alignment vertical="center"/>
    </xf>
    <xf numFmtId="0" fontId="2" fillId="14" borderId="0" xfId="0" applyFont="1" applyFill="1" applyAlignment="1" applyProtection="1">
      <alignment vertical="center"/>
    </xf>
    <xf numFmtId="0" fontId="11" fillId="15" borderId="0" xfId="0" applyFont="1" applyFill="1" applyAlignment="1" applyProtection="1">
      <alignment vertical="center"/>
    </xf>
    <xf numFmtId="0" fontId="11" fillId="3" borderId="0" xfId="0" applyFont="1" applyFill="1" applyAlignment="1" applyProtection="1">
      <alignment vertical="center"/>
    </xf>
    <xf numFmtId="0" fontId="11" fillId="5" borderId="0" xfId="0" applyFont="1" applyFill="1" applyAlignment="1" applyProtection="1">
      <alignment vertical="center"/>
    </xf>
    <xf numFmtId="14" fontId="13" fillId="0" borderId="0" xfId="0" applyNumberFormat="1" applyFont="1" applyAlignment="1" applyProtection="1">
      <alignment vertical="center"/>
    </xf>
    <xf numFmtId="0" fontId="16" fillId="0" borderId="0" xfId="0" applyFont="1" applyAlignment="1" applyProtection="1">
      <alignment vertical="center"/>
    </xf>
    <xf numFmtId="0" fontId="15" fillId="0" borderId="0" xfId="0" applyFont="1" applyAlignment="1" applyProtection="1">
      <alignment horizontal="center"/>
    </xf>
    <xf numFmtId="0" fontId="11" fillId="16" borderId="14" xfId="0" applyFont="1" applyFill="1" applyBorder="1" applyAlignment="1" applyProtection="1">
      <alignment vertical="center"/>
    </xf>
    <xf numFmtId="0" fontId="11" fillId="16" borderId="15" xfId="0" applyFont="1" applyFill="1" applyBorder="1" applyAlignment="1" applyProtection="1">
      <alignment vertical="center"/>
    </xf>
    <xf numFmtId="0" fontId="11" fillId="16" borderId="16" xfId="0" applyFont="1" applyFill="1" applyBorder="1" applyAlignment="1" applyProtection="1">
      <alignment vertical="center"/>
    </xf>
    <xf numFmtId="14" fontId="11" fillId="8" borderId="0" xfId="0" applyNumberFormat="1" applyFont="1" applyFill="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vertical="center"/>
    </xf>
    <xf numFmtId="167" fontId="0" fillId="0" borderId="18" xfId="0" applyNumberFormat="1" applyBorder="1" applyAlignment="1" applyProtection="1">
      <alignment horizontal="center" vertical="center"/>
    </xf>
    <xf numFmtId="0" fontId="0" fillId="0" borderId="18" xfId="0" applyBorder="1" applyAlignment="1" applyProtection="1">
      <alignment horizontal="center" vertical="center"/>
    </xf>
    <xf numFmtId="0" fontId="0" fillId="0" borderId="21" xfId="0" applyBorder="1" applyAlignment="1" applyProtection="1">
      <alignment horizontal="center" vertical="center"/>
    </xf>
    <xf numFmtId="0" fontId="0" fillId="0" borderId="23" xfId="0" applyBorder="1" applyAlignment="1" applyProtection="1">
      <alignment vertical="center"/>
    </xf>
    <xf numFmtId="0" fontId="0" fillId="0" borderId="30" xfId="0" applyBorder="1" applyAlignment="1" applyProtection="1">
      <alignment vertical="center"/>
    </xf>
    <xf numFmtId="0" fontId="0" fillId="0" borderId="24" xfId="0" applyBorder="1" applyAlignment="1" applyProtection="1">
      <alignment vertical="center"/>
    </xf>
    <xf numFmtId="0" fontId="0" fillId="0" borderId="25" xfId="0" applyBorder="1" applyAlignment="1" applyProtection="1">
      <alignment vertical="center"/>
    </xf>
    <xf numFmtId="0" fontId="0" fillId="0" borderId="26" xfId="0" applyBorder="1" applyAlignment="1" applyProtection="1">
      <alignment vertical="center"/>
    </xf>
    <xf numFmtId="0" fontId="0" fillId="0" borderId="19" xfId="0" applyBorder="1" applyAlignment="1" applyProtection="1">
      <alignment horizontal="center" vertical="center"/>
    </xf>
    <xf numFmtId="0" fontId="0" fillId="0" borderId="20" xfId="0" applyBorder="1" applyAlignment="1" applyProtection="1">
      <alignment vertical="center"/>
    </xf>
    <xf numFmtId="167" fontId="0" fillId="0" borderId="20" xfId="0" applyNumberFormat="1" applyBorder="1" applyAlignment="1" applyProtection="1">
      <alignment horizontal="center" vertical="center"/>
    </xf>
    <xf numFmtId="0" fontId="0" fillId="0" borderId="20" xfId="0" applyBorder="1" applyAlignment="1" applyProtection="1">
      <alignment horizontal="center" vertical="center"/>
    </xf>
    <xf numFmtId="0" fontId="0" fillId="0" borderId="22" xfId="0" applyBorder="1" applyAlignment="1" applyProtection="1">
      <alignment horizontal="center" vertical="center"/>
    </xf>
    <xf numFmtId="0" fontId="0" fillId="0" borderId="27" xfId="0" applyBorder="1" applyAlignment="1" applyProtection="1">
      <alignment vertical="center"/>
    </xf>
    <xf numFmtId="0" fontId="0" fillId="0" borderId="28" xfId="0" applyBorder="1" applyAlignment="1" applyProtection="1">
      <alignment vertical="center"/>
    </xf>
    <xf numFmtId="0" fontId="0" fillId="0" borderId="29" xfId="0" applyBorder="1" applyAlignment="1" applyProtection="1">
      <alignment vertical="center"/>
      <protection locked="0"/>
    </xf>
    <xf numFmtId="0" fontId="20" fillId="0" borderId="0" xfId="0" applyFont="1" applyAlignment="1" applyProtection="1">
      <alignment vertical="center"/>
    </xf>
    <xf numFmtId="14" fontId="18" fillId="0" borderId="0" xfId="0" applyNumberFormat="1" applyFont="1" applyAlignment="1" applyProtection="1">
      <alignment vertical="center"/>
    </xf>
    <xf numFmtId="0" fontId="11" fillId="6" borderId="31" xfId="0" applyFont="1" applyFill="1" applyBorder="1" applyAlignment="1" applyProtection="1">
      <alignment vertical="center"/>
    </xf>
    <xf numFmtId="0" fontId="25" fillId="6" borderId="34" xfId="0" applyFont="1" applyFill="1" applyBorder="1" applyAlignment="1" applyProtection="1">
      <alignment vertical="center"/>
    </xf>
    <xf numFmtId="0" fontId="17" fillId="0" borderId="0" xfId="0" applyFont="1" applyAlignment="1" applyProtection="1">
      <alignment vertical="center"/>
    </xf>
    <xf numFmtId="0" fontId="2" fillId="0" borderId="32" xfId="0" applyFont="1" applyBorder="1" applyAlignment="1" applyProtection="1">
      <alignment vertical="center"/>
    </xf>
    <xf numFmtId="0" fontId="21" fillId="16" borderId="9" xfId="0" applyFont="1" applyFill="1" applyBorder="1" applyAlignment="1" applyProtection="1">
      <alignment horizontal="center" vertical="center"/>
    </xf>
    <xf numFmtId="0" fontId="21" fillId="16" borderId="10" xfId="0" applyFont="1" applyFill="1" applyBorder="1" applyAlignment="1" applyProtection="1">
      <alignment horizontal="center" vertical="center"/>
    </xf>
    <xf numFmtId="0" fontId="21" fillId="16" borderId="8" xfId="0" applyFont="1" applyFill="1" applyBorder="1" applyAlignment="1" applyProtection="1">
      <alignment horizontal="center" vertical="center"/>
    </xf>
    <xf numFmtId="0" fontId="23" fillId="20" borderId="11" xfId="0" applyFont="1" applyFill="1" applyBorder="1" applyAlignment="1" applyProtection="1">
      <alignment horizontal="center" vertical="center"/>
    </xf>
    <xf numFmtId="0" fontId="23" fillId="20" borderId="0" xfId="0" applyFont="1" applyFill="1" applyAlignment="1" applyProtection="1">
      <alignment horizontal="center" vertical="center"/>
    </xf>
    <xf numFmtId="0" fontId="23" fillId="20" borderId="12" xfId="0" applyFont="1" applyFill="1" applyBorder="1" applyAlignment="1" applyProtection="1">
      <alignment horizontal="center" vertical="center"/>
    </xf>
    <xf numFmtId="0" fontId="24" fillId="20" borderId="7" xfId="0" applyFont="1" applyFill="1" applyBorder="1" applyAlignment="1" applyProtection="1">
      <alignment horizontal="center" vertical="center"/>
    </xf>
    <xf numFmtId="0" fontId="24" fillId="20" borderId="13" xfId="0" applyFont="1" applyFill="1" applyBorder="1" applyAlignment="1" applyProtection="1">
      <alignment horizontal="center" vertical="center"/>
    </xf>
    <xf numFmtId="0" fontId="24" fillId="20" borderId="6" xfId="0" applyFont="1" applyFill="1" applyBorder="1" applyAlignment="1" applyProtection="1">
      <alignment horizontal="center" vertical="center"/>
    </xf>
    <xf numFmtId="0" fontId="2" fillId="0" borderId="33" xfId="0" applyFont="1" applyBorder="1" applyAlignment="1" applyProtection="1">
      <alignment vertical="center"/>
    </xf>
    <xf numFmtId="0" fontId="19" fillId="0" borderId="0" xfId="0" applyFont="1" applyAlignment="1" applyProtection="1">
      <alignment vertical="center"/>
    </xf>
    <xf numFmtId="0" fontId="27" fillId="6" borderId="37" xfId="0" applyFont="1" applyFill="1" applyBorder="1" applyAlignment="1" applyProtection="1">
      <alignment vertical="center"/>
    </xf>
    <xf numFmtId="0" fontId="5" fillId="6" borderId="41" xfId="0" applyFont="1" applyFill="1" applyBorder="1" applyAlignment="1" applyProtection="1">
      <alignment vertical="center"/>
    </xf>
    <xf numFmtId="0" fontId="22" fillId="22" borderId="0" xfId="0" applyFont="1" applyFill="1" applyAlignment="1" applyProtection="1">
      <alignment vertical="center"/>
    </xf>
    <xf numFmtId="0" fontId="11" fillId="0" borderId="38" xfId="0" applyFont="1" applyBorder="1" applyAlignment="1" applyProtection="1">
      <alignment horizontal="center" vertical="center"/>
    </xf>
    <xf numFmtId="0" fontId="11" fillId="0" borderId="42" xfId="0" applyFont="1" applyBorder="1" applyAlignment="1" applyProtection="1">
      <alignment horizontal="center" vertical="center"/>
    </xf>
    <xf numFmtId="164" fontId="10" fillId="0" borderId="0" xfId="0" applyNumberFormat="1" applyFont="1" applyAlignment="1" applyProtection="1">
      <alignment vertical="center"/>
    </xf>
    <xf numFmtId="0" fontId="11" fillId="0" borderId="39" xfId="0" applyFont="1" applyBorder="1" applyAlignment="1" applyProtection="1">
      <alignment horizontal="center" vertical="center"/>
    </xf>
    <xf numFmtId="0" fontId="11" fillId="0" borderId="43" xfId="0" applyFont="1" applyBorder="1" applyAlignment="1" applyProtection="1">
      <alignment horizontal="center" vertical="center"/>
    </xf>
    <xf numFmtId="0" fontId="11" fillId="0" borderId="40" xfId="0" applyFont="1" applyBorder="1" applyAlignment="1" applyProtection="1">
      <alignment horizontal="center" vertical="center"/>
    </xf>
    <xf numFmtId="0" fontId="11" fillId="0" borderId="44" xfId="0" applyFont="1" applyBorder="1" applyAlignment="1" applyProtection="1">
      <alignment horizontal="center" vertical="center"/>
    </xf>
    <xf numFmtId="0" fontId="18" fillId="0" borderId="0" xfId="0" applyFont="1" applyAlignment="1" applyProtection="1">
      <alignment vertical="center"/>
    </xf>
    <xf numFmtId="0" fontId="0" fillId="0" borderId="0" xfId="0" applyProtection="1"/>
    <xf numFmtId="0" fontId="24" fillId="0" borderId="0" xfId="0" applyFont="1" applyAlignment="1" applyProtection="1">
      <alignment vertical="center"/>
    </xf>
    <xf numFmtId="0" fontId="26" fillId="0" borderId="0" xfId="0" applyFont="1" applyAlignment="1" applyProtection="1">
      <alignment vertical="center"/>
    </xf>
    <xf numFmtId="0" fontId="18" fillId="0" borderId="0" xfId="0" applyFont="1" applyAlignment="1" applyProtection="1">
      <alignment vertical="center"/>
    </xf>
    <xf numFmtId="9" fontId="10" fillId="0" borderId="0" xfId="0" applyNumberFormat="1" applyFont="1" applyAlignment="1" applyProtection="1">
      <alignment vertical="center"/>
    </xf>
    <xf numFmtId="0" fontId="11" fillId="16" borderId="1" xfId="0" applyFont="1" applyFill="1" applyBorder="1" applyAlignment="1" applyProtection="1">
      <alignment vertical="center"/>
    </xf>
    <xf numFmtId="0" fontId="0" fillId="20" borderId="1" xfId="0" applyFill="1" applyBorder="1" applyAlignment="1" applyProtection="1">
      <alignment vertical="center"/>
    </xf>
    <xf numFmtId="9" fontId="0" fillId="20" borderId="1" xfId="0" applyNumberFormat="1" applyFill="1" applyBorder="1" applyAlignment="1" applyProtection="1">
      <alignment vertical="center"/>
    </xf>
    <xf numFmtId="9" fontId="0" fillId="0" borderId="1" xfId="0" applyNumberFormat="1" applyBorder="1" applyAlignment="1" applyProtection="1">
      <alignment vertical="center"/>
    </xf>
    <xf numFmtId="0" fontId="0" fillId="21" borderId="1" xfId="0" applyFill="1" applyBorder="1" applyAlignment="1" applyProtection="1">
      <alignment vertical="center"/>
    </xf>
    <xf numFmtId="168" fontId="0" fillId="21" borderId="1" xfId="0" applyNumberFormat="1" applyFill="1" applyBorder="1" applyAlignment="1" applyProtection="1">
      <alignment vertical="center"/>
    </xf>
    <xf numFmtId="0" fontId="0" fillId="2" borderId="1" xfId="0" applyFill="1" applyBorder="1" applyAlignment="1" applyProtection="1">
      <alignment vertical="center"/>
    </xf>
    <xf numFmtId="168" fontId="0" fillId="2" borderId="1" xfId="0" applyNumberFormat="1" applyFill="1" applyBorder="1" applyAlignment="1" applyProtection="1">
      <alignment vertical="center"/>
    </xf>
    <xf numFmtId="0" fontId="0" fillId="19" borderId="1" xfId="0" applyFill="1" applyBorder="1" applyAlignment="1" applyProtection="1">
      <alignment vertical="center"/>
    </xf>
    <xf numFmtId="168" fontId="0" fillId="19" borderId="1" xfId="0" applyNumberFormat="1" applyFill="1" applyBorder="1" applyAlignment="1" applyProtection="1">
      <alignment vertical="center"/>
    </xf>
    <xf numFmtId="168" fontId="0" fillId="20" borderId="1" xfId="0" applyNumberFormat="1" applyFill="1" applyBorder="1" applyAlignment="1" applyProtection="1">
      <alignment vertical="center"/>
    </xf>
    <xf numFmtId="14" fontId="0" fillId="20" borderId="1" xfId="0" applyNumberFormat="1" applyFill="1" applyBorder="1" applyAlignment="1" applyProtection="1">
      <alignment vertical="center"/>
    </xf>
    <xf numFmtId="168" fontId="0" fillId="0" borderId="1" xfId="0" applyNumberFormat="1" applyBorder="1" applyAlignment="1" applyProtection="1">
      <alignment vertical="center"/>
    </xf>
    <xf numFmtId="14" fontId="0" fillId="0" borderId="1" xfId="0" applyNumberFormat="1" applyBorder="1" applyAlignment="1" applyProtection="1">
      <alignment vertical="center"/>
    </xf>
    <xf numFmtId="0" fontId="11" fillId="16" borderId="9" xfId="0" applyFont="1" applyFill="1" applyBorder="1" applyAlignment="1" applyProtection="1">
      <alignment vertical="center"/>
    </xf>
    <xf numFmtId="0" fontId="0" fillId="16" borderId="10" xfId="0" applyFill="1" applyBorder="1" applyAlignment="1" applyProtection="1">
      <alignment vertical="center"/>
    </xf>
    <xf numFmtId="0" fontId="0" fillId="16" borderId="8" xfId="0" applyFill="1" applyBorder="1" applyAlignment="1" applyProtection="1">
      <alignment vertical="center"/>
    </xf>
    <xf numFmtId="0" fontId="9" fillId="18" borderId="11" xfId="0" applyFont="1" applyFill="1" applyBorder="1" applyAlignment="1" applyProtection="1">
      <alignment vertical="center"/>
    </xf>
    <xf numFmtId="0" fontId="9" fillId="18" borderId="0" xfId="0" applyFont="1" applyFill="1" applyAlignment="1" applyProtection="1">
      <alignment vertical="center"/>
    </xf>
    <xf numFmtId="0" fontId="9" fillId="18" borderId="12" xfId="0" applyFont="1" applyFill="1" applyBorder="1" applyAlignment="1" applyProtection="1">
      <alignment vertical="center"/>
    </xf>
    <xf numFmtId="0" fontId="9" fillId="18" borderId="7" xfId="0" applyFont="1" applyFill="1" applyBorder="1" applyAlignment="1" applyProtection="1">
      <alignment vertical="center"/>
    </xf>
    <xf numFmtId="0" fontId="9" fillId="18" borderId="13" xfId="0" applyFont="1" applyFill="1" applyBorder="1" applyAlignment="1" applyProtection="1">
      <alignment vertical="center"/>
    </xf>
    <xf numFmtId="0" fontId="9" fillId="18" borderId="6" xfId="0" applyFont="1" applyFill="1" applyBorder="1" applyAlignment="1" applyProtection="1">
      <alignment vertical="center"/>
    </xf>
    <xf numFmtId="0" fontId="0" fillId="17" borderId="35" xfId="0" applyFill="1" applyBorder="1" applyAlignment="1" applyProtection="1">
      <alignment vertical="center"/>
      <protection locked="0"/>
    </xf>
    <xf numFmtId="0" fontId="0" fillId="17" borderId="36" xfId="0" applyFill="1" applyBorder="1" applyAlignment="1" applyProtection="1">
      <alignment vertical="center"/>
      <protection locked="0"/>
    </xf>
  </cellXfs>
  <cellStyles count="2">
    <cellStyle name="Normal" xfId="0" builtinId="0"/>
    <cellStyle name="Per cent" xfId="1" builtinId="5"/>
  </cellStyles>
  <dxfs count="60">
    <dxf>
      <alignment vertical="center" textRotation="0" wrapText="0" indent="0" justifyLastLine="0" shrinkToFit="0" readingOrder="0"/>
      <protection locked="1"/>
    </dxf>
    <dxf>
      <alignment horizontal="center" vertical="center" textRotation="0" wrapText="0" indent="0" justifyLastLine="0" shrinkToFit="0" readingOrder="0"/>
      <protection locked="1"/>
    </dxf>
    <dxf>
      <alignment vertical="center" textRotation="0" wrapText="0" indent="0" justifyLastLine="0" shrinkToFit="0" readingOrder="0"/>
      <protection locked="1"/>
    </dxf>
    <dxf>
      <numFmt numFmtId="166" formatCode="0.0"/>
      <alignment horizontal="general" vertical="center" textRotation="0" wrapText="0" indent="0" justifyLastLine="0" shrinkToFit="0" readingOrder="0"/>
      <protection locked="1"/>
    </dxf>
    <dxf>
      <alignment vertical="center" textRotation="0" wrapText="0" indent="0" justifyLastLine="0" shrinkToFit="0" readingOrder="0"/>
      <protection locked="1"/>
    </dxf>
    <dxf>
      <numFmt numFmtId="1" formatCode="0"/>
      <alignment horizontal="general" vertical="center" textRotation="0" wrapText="0" indent="0" justifyLastLine="0" shrinkToFit="0" readingOrder="0"/>
      <protection locked="1"/>
    </dxf>
    <dxf>
      <numFmt numFmtId="166" formatCode="0.0"/>
      <alignment vertical="center" textRotation="0" wrapText="0" indent="0" justifyLastLine="0" shrinkToFit="0" readingOrder="0"/>
      <protection locked="1"/>
    </dxf>
    <dxf>
      <font>
        <b val="0"/>
      </font>
      <numFmt numFmtId="19" formatCode="dd/mm/yyyy"/>
      <alignment vertical="center" textRotation="0" wrapText="0" indent="0" justifyLastLine="0" shrinkToFit="0" readingOrder="0"/>
      <protection locked="1"/>
    </dxf>
    <dxf>
      <numFmt numFmtId="19" formatCode="dd/mm/yyyy"/>
      <alignment vertical="center" textRotation="0" wrapText="0" indent="0" justifyLastLine="0" shrinkToFit="0" readingOrder="0"/>
      <protection locked="1"/>
    </dxf>
    <dxf>
      <numFmt numFmtId="0" formatCode="General"/>
      <alignment horizontal="right" vertical="center" textRotation="0" wrapText="0" indent="0" justifyLastLine="0" shrinkToFit="0" readingOrder="0"/>
      <protection locked="1"/>
    </dxf>
    <dxf>
      <alignment vertical="center" textRotation="0" wrapText="0" indent="0" justifyLastLine="0" shrinkToFit="0" readingOrder="0"/>
      <protection locked="1"/>
    </dxf>
    <dxf>
      <numFmt numFmtId="0" formatCode="General"/>
      <alignment horizontal="right" vertical="center" textRotation="0" wrapText="0" indent="0" justifyLastLine="0" shrinkToFit="0" readingOrder="0"/>
      <protection locked="1"/>
    </dxf>
    <dxf>
      <alignment horizontal="right" vertical="center" textRotation="0" wrapText="0" indent="0" justifyLastLine="0" shrinkToFit="0" readingOrder="0"/>
      <protection locked="1"/>
    </dxf>
    <dxf>
      <alignment vertical="center" textRotation="0" wrapText="0" indent="0" justifyLastLine="0" shrinkToFit="0" readingOrder="0"/>
      <protection locked="1"/>
    </dxf>
    <dxf>
      <font>
        <color rgb="FF666666"/>
      </font>
      <fill>
        <patternFill patternType="solid">
          <fgColor indexed="64"/>
          <bgColor rgb="FFF2F2F2"/>
        </patternFill>
      </fill>
    </dxf>
    <dxf>
      <font>
        <color rgb="FF1F4E79"/>
      </font>
      <fill>
        <patternFill patternType="solid">
          <fgColor indexed="64"/>
          <bgColor rgb="FFBDD7EE"/>
        </patternFill>
      </fill>
    </dxf>
    <dxf>
      <font>
        <color rgb="FF006100"/>
      </font>
      <fill>
        <patternFill patternType="solid">
          <fgColor indexed="64"/>
          <bgColor rgb="FFC6EFCE"/>
        </patternFill>
      </fill>
    </dxf>
    <dxf>
      <font>
        <color rgb="FF5B2C6F"/>
      </font>
      <fill>
        <patternFill patternType="solid">
          <fgColor indexed="64"/>
          <bgColor rgb="FFD5A6E6"/>
        </patternFill>
      </fill>
    </dxf>
    <dxf>
      <font>
        <color rgb="FF375623"/>
      </font>
      <fill>
        <patternFill patternType="solid">
          <fgColor indexed="64"/>
          <bgColor rgb="FFA9D08E"/>
        </patternFill>
      </fill>
    </dxf>
    <dxf>
      <font>
        <color rgb="FF1F4E79"/>
      </font>
      <fill>
        <patternFill patternType="solid">
          <fgColor indexed="64"/>
          <bgColor rgb="FF9BC2E6"/>
        </patternFill>
      </fill>
    </dxf>
    <dxf>
      <font>
        <color rgb="FF7F6000"/>
      </font>
      <fill>
        <patternFill patternType="solid">
          <fgColor indexed="64"/>
          <bgColor rgb="FFFFD966"/>
        </patternFill>
      </fill>
    </dxf>
    <dxf>
      <font>
        <color rgb="FF333333"/>
      </font>
      <fill>
        <patternFill patternType="solid">
          <fgColor indexed="64"/>
          <bgColor rgb="FFD9D9D9"/>
        </patternFill>
      </fill>
    </dxf>
    <dxf>
      <font>
        <color rgb="FF006100"/>
      </font>
      <fill>
        <patternFill patternType="solid">
          <fgColor indexed="64"/>
          <bgColor rgb="FFC6EFCE"/>
        </patternFill>
      </fill>
    </dxf>
    <dxf>
      <font>
        <color rgb="FF9C5700"/>
      </font>
      <fill>
        <patternFill patternType="solid">
          <fgColor indexed="64"/>
          <bgColor rgb="FFFFEB9C"/>
        </patternFill>
      </fill>
    </dxf>
    <dxf>
      <font>
        <color rgb="FF9C0006"/>
      </font>
      <fill>
        <patternFill patternType="solid">
          <fgColor indexed="64"/>
          <bgColor rgb="FFFFC7CE"/>
        </patternFill>
      </fill>
    </dxf>
    <dxf>
      <font>
        <color rgb="FFFFFFFF"/>
      </font>
      <fill>
        <patternFill patternType="solid">
          <fgColor indexed="64"/>
          <bgColor rgb="FF7030A0"/>
        </patternFill>
      </fill>
    </dxf>
    <dxf>
      <font>
        <color rgb="FFFFFFFF"/>
      </font>
      <fill>
        <patternFill patternType="solid">
          <fgColor indexed="64"/>
          <bgColor rgb="FF70AD47"/>
        </patternFill>
      </fill>
    </dxf>
    <dxf>
      <font>
        <color rgb="FFFFFFFF"/>
      </font>
      <fill>
        <patternFill patternType="solid">
          <fgColor indexed="64"/>
          <bgColor rgb="FF5B9BD5"/>
        </patternFill>
      </fill>
    </dxf>
    <dxf>
      <fill>
        <patternFill patternType="solid">
          <fgColor indexed="64"/>
          <bgColor rgb="FFFFD966"/>
        </patternFill>
      </fill>
    </dxf>
    <dxf>
      <font>
        <color rgb="FFFFFFFF"/>
      </font>
      <fill>
        <patternFill patternType="solid">
          <fgColor indexed="64"/>
          <bgColor rgb="FF7F7F7F"/>
        </patternFill>
      </fill>
    </dxf>
    <dxf>
      <alignment horizontal="right" textRotation="0" wrapText="0" indent="0" justifyLastLine="0" shrinkToFit="0" readingOrder="0"/>
    </dxf>
    <dxf>
      <alignment horizontal="right" textRotation="0" wrapText="0" indent="0" justifyLastLine="0" shrinkToFit="0" readingOrder="0"/>
    </dxf>
    <dxf>
      <numFmt numFmtId="164" formatCode="#,##0\ &quot;€&quot;"/>
    </dxf>
    <dxf>
      <numFmt numFmtId="3" formatCode="#,##0"/>
    </dxf>
    <dxf>
      <numFmt numFmtId="3" formatCode="#,##0"/>
    </dxf>
    <dxf>
      <font>
        <b val="0"/>
        <i val="0"/>
        <strike val="0"/>
        <condense val="0"/>
        <extend val="0"/>
        <outline val="0"/>
        <shadow val="0"/>
        <u val="none"/>
        <vertAlign val="baseline"/>
        <sz val="11"/>
        <color theme="1"/>
        <name val="Aptos Narrow"/>
        <family val="2"/>
        <scheme val="minor"/>
      </font>
    </dxf>
    <dxf>
      <numFmt numFmtId="164" formatCode="#,##0\ &quot;€&quot;"/>
      <fill>
        <patternFill patternType="none">
          <fgColor indexed="64"/>
          <bgColor auto="1"/>
        </patternFill>
      </fill>
    </dxf>
    <dxf>
      <numFmt numFmtId="164" formatCode="#,##0\ &quot;€&quot;"/>
    </dxf>
    <dxf>
      <numFmt numFmtId="164" formatCode="#,##0\ &quot;€&quot;"/>
    </dxf>
    <dxf>
      <numFmt numFmtId="1" formatCode="0"/>
    </dxf>
    <dxf>
      <numFmt numFmtId="1" formatCode="0"/>
      <alignment horizontal="general" textRotation="0" wrapText="0" indent="0" justifyLastLine="0" shrinkToFit="0" readingOrder="0"/>
    </dxf>
    <dxf>
      <numFmt numFmtId="169" formatCode="m/d/yyyy"/>
      <alignment horizontal="right" vertical="bottom" textRotation="0" wrapText="0" indent="0" justifyLastLine="0" shrinkToFit="0" readingOrder="0"/>
    </dxf>
    <dxf>
      <numFmt numFmtId="169" formatCode="m/d/yyyy"/>
      <alignment horizontal="right" vertical="bottom" textRotation="0" wrapText="0" indent="0" justifyLastLine="0" shrinkToFit="0" readingOrder="0"/>
    </dxf>
    <dxf>
      <alignment horizontal="right" textRotation="0" wrapText="0" indent="0" justifyLastLine="0" shrinkToFit="0" readingOrder="0"/>
    </dxf>
    <dxf>
      <numFmt numFmtId="0" formatCode="General"/>
      <alignment horizontal="right" vertical="bottom"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4343"/>
        </patternFill>
      </fill>
    </dxf>
    <dxf>
      <font>
        <b/>
        <i val="0"/>
        <color theme="0"/>
      </font>
      <fill>
        <patternFill>
          <bgColor rgb="FFFFD54F"/>
        </patternFill>
      </fill>
    </dxf>
    <dxf>
      <font>
        <b/>
        <i val="0"/>
        <color theme="0"/>
      </font>
      <fill>
        <patternFill>
          <bgColor theme="6" tint="0.39994506668294322"/>
        </patternFill>
      </fill>
    </dxf>
    <dxf>
      <fill>
        <patternFill patternType="solid">
          <fgColor indexed="64"/>
          <bgColor rgb="FFFFF9C4"/>
        </patternFill>
      </fill>
    </dxf>
    <dxf>
      <fill>
        <patternFill patternType="solid">
          <fgColor indexed="64"/>
          <bgColor rgb="FFFFF9C4"/>
        </patternFill>
      </fill>
    </dxf>
    <dxf>
      <fill>
        <patternFill patternType="solid">
          <fgColor indexed="64"/>
          <bgColor rgb="FFFFF9C4"/>
        </patternFill>
      </fill>
    </dxf>
    <dxf>
      <fill>
        <patternFill patternType="solid">
          <fgColor indexed="64"/>
          <bgColor rgb="FFFFF9C4"/>
        </patternFill>
      </fill>
    </dxf>
    <dxf>
      <fill>
        <patternFill patternType="solid">
          <fgColor indexed="64"/>
          <bgColor rgb="FFFFF9C4"/>
        </patternFill>
      </fill>
    </dxf>
  </dxfs>
  <tableStyles count="0" defaultTableStyle="TableStyleMedium2" defaultPivotStyle="PivotStyleLight16"/>
  <colors>
    <mruColors>
      <color rgb="FFFFD54F"/>
      <color rgb="FFFF4343"/>
      <color rgb="FFE4CD92"/>
      <color rgb="FFF7C4A7"/>
      <color rgb="FFD9F6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Projects by Status</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Dashboard!$C$10</c:f>
              <c:strCache>
                <c:ptCount val="1"/>
                <c:pt idx="0">
                  <c:v>Count</c:v>
                </c:pt>
              </c:strCache>
            </c:strRef>
          </c:tx>
          <c:dPt>
            <c:idx val="0"/>
            <c:bubble3D val="0"/>
            <c:spPr>
              <a:solidFill>
                <a:srgbClr val="92D050"/>
              </a:solidFill>
              <a:ln w="19050">
                <a:solidFill>
                  <a:schemeClr val="lt1"/>
                </a:solidFill>
              </a:ln>
              <a:effectLst/>
            </c:spPr>
            <c:extLst>
              <c:ext xmlns:c16="http://schemas.microsoft.com/office/drawing/2014/chart" uri="{C3380CC4-5D6E-409C-BE32-E72D297353CC}">
                <c16:uniqueId val="{00000002-DC30-4DB6-9C6D-7D12EAE5526C}"/>
              </c:ext>
            </c:extLst>
          </c:dPt>
          <c:dPt>
            <c:idx val="1"/>
            <c:bubble3D val="0"/>
            <c:spPr>
              <a:solidFill>
                <a:srgbClr val="FFD54F"/>
              </a:solidFill>
              <a:ln w="19050">
                <a:solidFill>
                  <a:schemeClr val="lt1"/>
                </a:solidFill>
              </a:ln>
              <a:effectLst/>
            </c:spPr>
            <c:extLst>
              <c:ext xmlns:c16="http://schemas.microsoft.com/office/drawing/2014/chart" uri="{C3380CC4-5D6E-409C-BE32-E72D297353CC}">
                <c16:uniqueId val="{00000003-DC30-4DB6-9C6D-7D12EAE5526C}"/>
              </c:ext>
            </c:extLst>
          </c:dPt>
          <c:dPt>
            <c:idx val="2"/>
            <c:bubble3D val="0"/>
            <c:spPr>
              <a:solidFill>
                <a:schemeClr val="tx2">
                  <a:lumMod val="10000"/>
                  <a:lumOff val="90000"/>
                </a:schemeClr>
              </a:solidFill>
              <a:ln w="19050">
                <a:solidFill>
                  <a:schemeClr val="lt1"/>
                </a:solidFill>
              </a:ln>
              <a:effectLst/>
            </c:spPr>
            <c:extLst>
              <c:ext xmlns:c16="http://schemas.microsoft.com/office/drawing/2014/chart" uri="{C3380CC4-5D6E-409C-BE32-E72D297353CC}">
                <c16:uniqueId val="{00000001-DC30-4DB6-9C6D-7D12EAE5526C}"/>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Dashboard!$B$11:$B$13</c:f>
              <c:strCache>
                <c:ptCount val="3"/>
                <c:pt idx="0">
                  <c:v>Completed</c:v>
                </c:pt>
                <c:pt idx="1">
                  <c:v>In Progress</c:v>
                </c:pt>
                <c:pt idx="2">
                  <c:v>Planned</c:v>
                </c:pt>
              </c:strCache>
            </c:strRef>
          </c:cat>
          <c:val>
            <c:numRef>
              <c:f>Dashboard!$C$11:$C$13</c:f>
              <c:numCache>
                <c:formatCode>General</c:formatCode>
                <c:ptCount val="3"/>
                <c:pt idx="0">
                  <c:v>4</c:v>
                </c:pt>
                <c:pt idx="1">
                  <c:v>4</c:v>
                </c:pt>
                <c:pt idx="2">
                  <c:v>4</c:v>
                </c:pt>
              </c:numCache>
            </c:numRef>
          </c:val>
          <c:extLst>
            <c:ext xmlns:c16="http://schemas.microsoft.com/office/drawing/2014/chart" uri="{C3380CC4-5D6E-409C-BE32-E72D297353CC}">
              <c16:uniqueId val="{00000000-DC30-4DB6-9C6D-7D12EAE5526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CAPEX by Technology</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Dashboard!$E$10</c:f>
              <c:strCache>
                <c:ptCount val="1"/>
                <c:pt idx="0">
                  <c:v>CAPEX (M€)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Dashboard!$D$11:$D$14</c:f>
              <c:strCache>
                <c:ptCount val="4"/>
                <c:pt idx="0">
                  <c:v>Hybrid</c:v>
                </c:pt>
                <c:pt idx="1">
                  <c:v>Wind</c:v>
                </c:pt>
                <c:pt idx="2">
                  <c:v>Solar</c:v>
                </c:pt>
                <c:pt idx="3">
                  <c:v>H2</c:v>
                </c:pt>
              </c:strCache>
            </c:strRef>
          </c:cat>
          <c:val>
            <c:numRef>
              <c:f>Dashboard!$E$11:$E$14</c:f>
              <c:numCache>
                <c:formatCode>#\ ##0\ "€"</c:formatCode>
                <c:ptCount val="4"/>
                <c:pt idx="0">
                  <c:v>1265</c:v>
                </c:pt>
                <c:pt idx="1">
                  <c:v>525</c:v>
                </c:pt>
                <c:pt idx="2">
                  <c:v>190</c:v>
                </c:pt>
                <c:pt idx="3">
                  <c:v>110</c:v>
                </c:pt>
              </c:numCache>
            </c:numRef>
          </c:val>
          <c:extLst>
            <c:ext xmlns:c16="http://schemas.microsoft.com/office/drawing/2014/chart" uri="{C3380CC4-5D6E-409C-BE32-E72D297353CC}">
              <c16:uniqueId val="{00000000-7993-40B7-98CF-5733D3463F60}"/>
            </c:ext>
          </c:extLst>
        </c:ser>
        <c:dLbls>
          <c:showLegendKey val="0"/>
          <c:showVal val="0"/>
          <c:showCatName val="0"/>
          <c:showSerName val="0"/>
          <c:showPercent val="0"/>
          <c:showBubbleSize val="0"/>
        </c:dLbls>
        <c:gapWidth val="182"/>
        <c:axId val="1873457471"/>
        <c:axId val="1795342559"/>
      </c:barChart>
      <c:catAx>
        <c:axId val="1873457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342559"/>
        <c:crosses val="autoZero"/>
        <c:auto val="1"/>
        <c:lblAlgn val="ctr"/>
        <c:lblOffset val="100"/>
        <c:noMultiLvlLbl val="0"/>
      </c:catAx>
      <c:valAx>
        <c:axId val="1795342559"/>
        <c:scaling>
          <c:orientation val="minMax"/>
        </c:scaling>
        <c:delete val="0"/>
        <c:axPos val="b"/>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457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CAPEX by Country</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Dashboard!$G$10</c:f>
              <c:strCache>
                <c:ptCount val="1"/>
                <c:pt idx="0">
                  <c:v>CAPEX (M€)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Dashboard!$F$11:$F$14</c:f>
              <c:strCache>
                <c:ptCount val="4"/>
                <c:pt idx="0">
                  <c:v>Portugal</c:v>
                </c:pt>
                <c:pt idx="1">
                  <c:v>Spain</c:v>
                </c:pt>
                <c:pt idx="2">
                  <c:v>France</c:v>
                </c:pt>
                <c:pt idx="3">
                  <c:v>Italy</c:v>
                </c:pt>
              </c:strCache>
            </c:strRef>
          </c:cat>
          <c:val>
            <c:numRef>
              <c:f>Dashboard!$G$11:$G$14</c:f>
              <c:numCache>
                <c:formatCode>#\ ##0\ "€"</c:formatCode>
                <c:ptCount val="4"/>
                <c:pt idx="0">
                  <c:v>580</c:v>
                </c:pt>
                <c:pt idx="1">
                  <c:v>460</c:v>
                </c:pt>
                <c:pt idx="2">
                  <c:v>475</c:v>
                </c:pt>
                <c:pt idx="3">
                  <c:v>575</c:v>
                </c:pt>
              </c:numCache>
            </c:numRef>
          </c:val>
          <c:extLst>
            <c:ext xmlns:c16="http://schemas.microsoft.com/office/drawing/2014/chart" uri="{C3380CC4-5D6E-409C-BE32-E72D297353CC}">
              <c16:uniqueId val="{00000000-0625-4CE3-AAA1-8DF2987E61A9}"/>
            </c:ext>
          </c:extLst>
        </c:ser>
        <c:dLbls>
          <c:dLblPos val="outEnd"/>
          <c:showLegendKey val="0"/>
          <c:showVal val="1"/>
          <c:showCatName val="0"/>
          <c:showSerName val="0"/>
          <c:showPercent val="0"/>
          <c:showBubbleSize val="0"/>
        </c:dLbls>
        <c:gapWidth val="182"/>
        <c:axId val="1947432335"/>
        <c:axId val="1790128719"/>
      </c:barChart>
      <c:catAx>
        <c:axId val="1947432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128719"/>
        <c:crosses val="autoZero"/>
        <c:auto val="1"/>
        <c:lblAlgn val="ctr"/>
        <c:lblOffset val="100"/>
        <c:noMultiLvlLbl val="0"/>
      </c:catAx>
      <c:valAx>
        <c:axId val="1790128719"/>
        <c:scaling>
          <c:orientation val="minMax"/>
        </c:scaling>
        <c:delete val="0"/>
        <c:axPos val="b"/>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432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CAPEX vs ROI by Technology</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Dashboard!$I$26</c:f>
              <c:strCache>
                <c:ptCount val="1"/>
                <c:pt idx="0">
                  <c:v>CAPEX (M€)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Dashboard!$H$27:$H$30</c:f>
              <c:strCache>
                <c:ptCount val="4"/>
                <c:pt idx="0">
                  <c:v>Hybrid</c:v>
                </c:pt>
                <c:pt idx="1">
                  <c:v>Wind</c:v>
                </c:pt>
                <c:pt idx="2">
                  <c:v>Solar</c:v>
                </c:pt>
                <c:pt idx="3">
                  <c:v>H2</c:v>
                </c:pt>
              </c:strCache>
            </c:strRef>
          </c:cat>
          <c:val>
            <c:numRef>
              <c:f>Dashboard!$I$27:$I$30</c:f>
              <c:numCache>
                <c:formatCode>#\ ##0\ "€"</c:formatCode>
                <c:ptCount val="4"/>
                <c:pt idx="0">
                  <c:v>1265</c:v>
                </c:pt>
                <c:pt idx="1">
                  <c:v>525</c:v>
                </c:pt>
                <c:pt idx="2">
                  <c:v>190</c:v>
                </c:pt>
                <c:pt idx="3">
                  <c:v>110</c:v>
                </c:pt>
              </c:numCache>
            </c:numRef>
          </c:val>
          <c:extLst>
            <c:ext xmlns:c16="http://schemas.microsoft.com/office/drawing/2014/chart" uri="{C3380CC4-5D6E-409C-BE32-E72D297353CC}">
              <c16:uniqueId val="{00000000-A5EB-4C1F-AAE5-F29302DFFA17}"/>
            </c:ext>
          </c:extLst>
        </c:ser>
        <c:ser>
          <c:idx val="1"/>
          <c:order val="1"/>
          <c:tx>
            <c:strRef>
              <c:f>Dashboard!$J$26</c:f>
              <c:strCache>
                <c:ptCount val="1"/>
                <c:pt idx="0">
                  <c:v>AVG ROI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Dashboard!$H$27:$H$30</c:f>
              <c:strCache>
                <c:ptCount val="4"/>
                <c:pt idx="0">
                  <c:v>Hybrid</c:v>
                </c:pt>
                <c:pt idx="1">
                  <c:v>Wind</c:v>
                </c:pt>
                <c:pt idx="2">
                  <c:v>Solar</c:v>
                </c:pt>
                <c:pt idx="3">
                  <c:v>H2</c:v>
                </c:pt>
              </c:strCache>
            </c:strRef>
          </c:cat>
          <c:val>
            <c:numRef>
              <c:f>Dashboard!$J$27:$J$30</c:f>
              <c:numCache>
                <c:formatCode>0%</c:formatCode>
                <c:ptCount val="4"/>
                <c:pt idx="0">
                  <c:v>0.15698058055555555</c:v>
                </c:pt>
                <c:pt idx="1">
                  <c:v>0.1295338</c:v>
                </c:pt>
                <c:pt idx="2">
                  <c:v>0.12807573333333333</c:v>
                </c:pt>
                <c:pt idx="3">
                  <c:v>0.22741500000000003</c:v>
                </c:pt>
              </c:numCache>
            </c:numRef>
          </c:val>
          <c:extLst>
            <c:ext xmlns:c16="http://schemas.microsoft.com/office/drawing/2014/chart" uri="{C3380CC4-5D6E-409C-BE32-E72D297353CC}">
              <c16:uniqueId val="{00000001-A5EB-4C1F-AAE5-F29302DFFA17}"/>
            </c:ext>
          </c:extLst>
        </c:ser>
        <c:dLbls>
          <c:dLblPos val="outEnd"/>
          <c:showLegendKey val="0"/>
          <c:showVal val="1"/>
          <c:showCatName val="0"/>
          <c:showSerName val="0"/>
          <c:showPercent val="0"/>
          <c:showBubbleSize val="0"/>
        </c:dLbls>
        <c:gapWidth val="219"/>
        <c:overlap val="-27"/>
        <c:axId val="1863142575"/>
        <c:axId val="1863139695"/>
      </c:barChart>
      <c:catAx>
        <c:axId val="1863142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139695"/>
        <c:crosses val="autoZero"/>
        <c:auto val="1"/>
        <c:lblAlgn val="ctr"/>
        <c:lblOffset val="100"/>
        <c:noMultiLvlLbl val="0"/>
      </c:catAx>
      <c:valAx>
        <c:axId val="1863139695"/>
        <c:scaling>
          <c:orientation val="minMax"/>
        </c:scaling>
        <c:delete val="1"/>
        <c:axPos val="l"/>
        <c:numFmt formatCode="#\ ##0\ &quot;€&quot;" sourceLinked="1"/>
        <c:majorTickMark val="none"/>
        <c:minorTickMark val="none"/>
        <c:tickLblPos val="nextTo"/>
        <c:crossAx val="1863142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Capacity by Technology</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Dashboard!$I$26</c:f>
              <c:strCache>
                <c:ptCount val="1"/>
                <c:pt idx="0">
                  <c:v>CAPEX (M€)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Dashboard!$H$27:$H$30</c:f>
              <c:strCache>
                <c:ptCount val="4"/>
                <c:pt idx="0">
                  <c:v>Hybrid</c:v>
                </c:pt>
                <c:pt idx="1">
                  <c:v>Wind</c:v>
                </c:pt>
                <c:pt idx="2">
                  <c:v>Solar</c:v>
                </c:pt>
                <c:pt idx="3">
                  <c:v>H2</c:v>
                </c:pt>
              </c:strCache>
            </c:strRef>
          </c:cat>
          <c:val>
            <c:numRef>
              <c:f>Dashboard!$I$27:$I$30</c:f>
              <c:numCache>
                <c:formatCode>#\ ##0\ "€"</c:formatCode>
                <c:ptCount val="4"/>
                <c:pt idx="0">
                  <c:v>1265</c:v>
                </c:pt>
                <c:pt idx="1">
                  <c:v>525</c:v>
                </c:pt>
                <c:pt idx="2">
                  <c:v>190</c:v>
                </c:pt>
                <c:pt idx="3">
                  <c:v>110</c:v>
                </c:pt>
              </c:numCache>
            </c:numRef>
          </c:val>
          <c:extLst>
            <c:ext xmlns:c16="http://schemas.microsoft.com/office/drawing/2014/chart" uri="{C3380CC4-5D6E-409C-BE32-E72D297353CC}">
              <c16:uniqueId val="{00000000-CD24-4DAB-9F64-F91C349872B6}"/>
            </c:ext>
          </c:extLst>
        </c:ser>
        <c:ser>
          <c:idx val="1"/>
          <c:order val="1"/>
          <c:tx>
            <c:strRef>
              <c:f>Dashboard!$J$26</c:f>
              <c:strCache>
                <c:ptCount val="1"/>
                <c:pt idx="0">
                  <c:v>AVG ROI</c:v>
                </c:pt>
              </c:strCache>
            </c:strRef>
          </c:tx>
          <c:spPr>
            <a:solidFill>
              <a:schemeClr val="accent2"/>
            </a:solidFill>
            <a:ln>
              <a:noFill/>
            </a:ln>
            <a:effectLst/>
          </c:spPr>
          <c:invertIfNegative val="0"/>
          <c:cat>
            <c:strRef>
              <c:f>Dashboard!$H$27:$H$30</c:f>
              <c:strCache>
                <c:ptCount val="4"/>
                <c:pt idx="0">
                  <c:v>Hybrid</c:v>
                </c:pt>
                <c:pt idx="1">
                  <c:v>Wind</c:v>
                </c:pt>
                <c:pt idx="2">
                  <c:v>Solar</c:v>
                </c:pt>
                <c:pt idx="3">
                  <c:v>H2</c:v>
                </c:pt>
              </c:strCache>
            </c:strRef>
          </c:cat>
          <c:val>
            <c:numRef>
              <c:f>Dashboard!$J$27:$J$30</c:f>
              <c:numCache>
                <c:formatCode>0%</c:formatCode>
                <c:ptCount val="4"/>
                <c:pt idx="0">
                  <c:v>0.15698058055555555</c:v>
                </c:pt>
                <c:pt idx="1">
                  <c:v>0.1295338</c:v>
                </c:pt>
                <c:pt idx="2">
                  <c:v>0.12807573333333333</c:v>
                </c:pt>
                <c:pt idx="3">
                  <c:v>0.22741500000000003</c:v>
                </c:pt>
              </c:numCache>
            </c:numRef>
          </c:val>
          <c:extLst>
            <c:ext xmlns:c16="http://schemas.microsoft.com/office/drawing/2014/chart" uri="{C3380CC4-5D6E-409C-BE32-E72D297353CC}">
              <c16:uniqueId val="{00000001-CD24-4DAB-9F64-F91C349872B6}"/>
            </c:ext>
          </c:extLst>
        </c:ser>
        <c:ser>
          <c:idx val="2"/>
          <c:order val="2"/>
          <c:tx>
            <c:strRef>
              <c:f>Dashboard!$K$26</c:f>
              <c:strCache>
                <c:ptCount val="1"/>
                <c:pt idx="0">
                  <c:v>Capacity MW</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Dashboard!$H$27:$H$30</c:f>
              <c:strCache>
                <c:ptCount val="4"/>
                <c:pt idx="0">
                  <c:v>Hybrid</c:v>
                </c:pt>
                <c:pt idx="1">
                  <c:v>Wind</c:v>
                </c:pt>
                <c:pt idx="2">
                  <c:v>Solar</c:v>
                </c:pt>
                <c:pt idx="3">
                  <c:v>H2</c:v>
                </c:pt>
              </c:strCache>
            </c:strRef>
          </c:cat>
          <c:val>
            <c:numRef>
              <c:f>Dashboard!$K$27:$K$30</c:f>
              <c:numCache>
                <c:formatCode>General</c:formatCode>
                <c:ptCount val="4"/>
                <c:pt idx="0">
                  <c:v>1150</c:v>
                </c:pt>
                <c:pt idx="1">
                  <c:v>330</c:v>
                </c:pt>
                <c:pt idx="2">
                  <c:v>220</c:v>
                </c:pt>
                <c:pt idx="3">
                  <c:v>90</c:v>
                </c:pt>
              </c:numCache>
            </c:numRef>
          </c:val>
          <c:extLst>
            <c:ext xmlns:c16="http://schemas.microsoft.com/office/drawing/2014/chart" uri="{C3380CC4-5D6E-409C-BE32-E72D297353CC}">
              <c16:uniqueId val="{00000002-CD24-4DAB-9F64-F91C349872B6}"/>
            </c:ext>
          </c:extLst>
        </c:ser>
        <c:dLbls>
          <c:showLegendKey val="0"/>
          <c:showVal val="0"/>
          <c:showCatName val="0"/>
          <c:showSerName val="0"/>
          <c:showPercent val="0"/>
          <c:showBubbleSize val="0"/>
        </c:dLbls>
        <c:gapWidth val="182"/>
        <c:axId val="1667398959"/>
        <c:axId val="1667405199"/>
      </c:barChart>
      <c:catAx>
        <c:axId val="166739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7405199"/>
        <c:crosses val="autoZero"/>
        <c:auto val="1"/>
        <c:lblAlgn val="ctr"/>
        <c:lblOffset val="100"/>
        <c:noMultiLvlLbl val="0"/>
      </c:catAx>
      <c:valAx>
        <c:axId val="1667405199"/>
        <c:scaling>
          <c:orientation val="minMax"/>
        </c:scaling>
        <c:delete val="0"/>
        <c:axPos val="b"/>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739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13</xdr:col>
      <xdr:colOff>437773</xdr:colOff>
      <xdr:row>5</xdr:row>
      <xdr:rowOff>117929</xdr:rowOff>
    </xdr:from>
    <xdr:to>
      <xdr:col>17</xdr:col>
      <xdr:colOff>273399</xdr:colOff>
      <xdr:row>17</xdr:row>
      <xdr:rowOff>76200</xdr:rowOff>
    </xdr:to>
    <mc:AlternateContent xmlns:mc="http://schemas.openxmlformats.org/markup-compatibility/2006">
      <mc:Choice xmlns:sle15="http://schemas.microsoft.com/office/drawing/2012/slicer" Requires="sle15">
        <xdr:graphicFrame macro="">
          <xdr:nvGraphicFramePr>
            <xdr:cNvPr id="2" name="Project_ID 1">
              <a:extLst>
                <a:ext uri="{FF2B5EF4-FFF2-40B4-BE49-F238E27FC236}">
                  <a16:creationId xmlns:a16="http://schemas.microsoft.com/office/drawing/2014/main" id="{151E86BC-43E6-ED92-4E70-8EB8721A8373}"/>
                </a:ext>
              </a:extLst>
            </xdr:cNvPr>
            <xdr:cNvGraphicFramePr/>
          </xdr:nvGraphicFramePr>
          <xdr:xfrm>
            <a:off x="0" y="0"/>
            <a:ext cx="0" cy="0"/>
          </xdr:xfrm>
          <a:graphic>
            <a:graphicData uri="http://schemas.microsoft.com/office/drawing/2010/slicer">
              <sle:slicer xmlns:sle="http://schemas.microsoft.com/office/drawing/2010/slicer" name="Project_ID 1"/>
            </a:graphicData>
          </a:graphic>
        </xdr:graphicFrame>
      </mc:Choice>
      <mc:Fallback>
        <xdr:sp macro="" textlink="">
          <xdr:nvSpPr>
            <xdr:cNvPr id="0" name=""/>
            <xdr:cNvSpPr>
              <a:spLocks noTextEdit="1"/>
            </xdr:cNvSpPr>
          </xdr:nvSpPr>
          <xdr:spPr>
            <a:xfrm>
              <a:off x="16681073" y="1006929"/>
              <a:ext cx="2274026" cy="2091871"/>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381000</xdr:colOff>
          <xdr:row>0</xdr:row>
          <xdr:rowOff>91440</xdr:rowOff>
        </xdr:from>
        <xdr:to>
          <xdr:col>18</xdr:col>
          <xdr:colOff>541020</xdr:colOff>
          <xdr:row>2</xdr:row>
          <xdr:rowOff>22860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00"/>
                  </a:solidFill>
                  <a:latin typeface="Aptos Narrow"/>
                </a:rPr>
                <a:t>GENERATE TASKS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512618</xdr:colOff>
      <xdr:row>1</xdr:row>
      <xdr:rowOff>126076</xdr:rowOff>
    </xdr:from>
    <xdr:to>
      <xdr:col>6</xdr:col>
      <xdr:colOff>906269</xdr:colOff>
      <xdr:row>3</xdr:row>
      <xdr:rowOff>156700</xdr:rowOff>
    </xdr:to>
    <xdr:pic>
      <xdr:nvPicPr>
        <xdr:cNvPr id="5" name="Picture 4">
          <a:extLst>
            <a:ext uri="{FF2B5EF4-FFF2-40B4-BE49-F238E27FC236}">
              <a16:creationId xmlns:a16="http://schemas.microsoft.com/office/drawing/2014/main" id="{3BCB88EC-23A7-407F-B719-9D4C1EB5530D}"/>
            </a:ext>
          </a:extLst>
        </xdr:cNvPr>
        <xdr:cNvPicPr>
          <a:picLocks noChangeAspect="1"/>
        </xdr:cNvPicPr>
      </xdr:nvPicPr>
      <xdr:blipFill>
        <a:blip xmlns:r="http://schemas.openxmlformats.org/officeDocument/2006/relationships" r:embed="rId1"/>
        <a:stretch>
          <a:fillRect/>
        </a:stretch>
      </xdr:blipFill>
      <xdr:spPr>
        <a:xfrm>
          <a:off x="6456218" y="250767"/>
          <a:ext cx="1668269" cy="723351"/>
        </a:xfrm>
        <a:prstGeom prst="rect">
          <a:avLst/>
        </a:prstGeom>
      </xdr:spPr>
    </xdr:pic>
    <xdr:clientData/>
  </xdr:twoCellAnchor>
  <xdr:twoCellAnchor>
    <xdr:from>
      <xdr:col>1</xdr:col>
      <xdr:colOff>41564</xdr:colOff>
      <xdr:row>15</xdr:row>
      <xdr:rowOff>96982</xdr:rowOff>
    </xdr:from>
    <xdr:to>
      <xdr:col>2</xdr:col>
      <xdr:colOff>472441</xdr:colOff>
      <xdr:row>23</xdr:row>
      <xdr:rowOff>0</xdr:rowOff>
    </xdr:to>
    <xdr:graphicFrame macro="">
      <xdr:nvGraphicFramePr>
        <xdr:cNvPr id="8" name="Chart_Status">
          <a:extLst>
            <a:ext uri="{FF2B5EF4-FFF2-40B4-BE49-F238E27FC236}">
              <a16:creationId xmlns:a16="http://schemas.microsoft.com/office/drawing/2014/main" id="{C6D4E13B-C14B-3B12-9978-5582E62307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567691</xdr:colOff>
      <xdr:row>15</xdr:row>
      <xdr:rowOff>96982</xdr:rowOff>
    </xdr:from>
    <xdr:to>
      <xdr:col>4</xdr:col>
      <xdr:colOff>1145887</xdr:colOff>
      <xdr:row>22</xdr:row>
      <xdr:rowOff>207818</xdr:rowOff>
    </xdr:to>
    <xdr:graphicFrame macro="">
      <xdr:nvGraphicFramePr>
        <xdr:cNvPr id="9" name="Chart_Technology">
          <a:extLst>
            <a:ext uri="{FF2B5EF4-FFF2-40B4-BE49-F238E27FC236}">
              <a16:creationId xmlns:a16="http://schemas.microsoft.com/office/drawing/2014/main" id="{AFED647F-F897-DEA4-4263-3D9F45422A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1241137</xdr:colOff>
      <xdr:row>15</xdr:row>
      <xdr:rowOff>96982</xdr:rowOff>
    </xdr:from>
    <xdr:to>
      <xdr:col>6</xdr:col>
      <xdr:colOff>1260765</xdr:colOff>
      <xdr:row>22</xdr:row>
      <xdr:rowOff>193964</xdr:rowOff>
    </xdr:to>
    <xdr:graphicFrame macro="">
      <xdr:nvGraphicFramePr>
        <xdr:cNvPr id="10" name="Chart_Country">
          <a:extLst>
            <a:ext uri="{FF2B5EF4-FFF2-40B4-BE49-F238E27FC236}">
              <a16:creationId xmlns:a16="http://schemas.microsoft.com/office/drawing/2014/main" id="{0FEC77D9-8EFE-49EE-1F5E-DBCCAE4873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98367</xdr:colOff>
      <xdr:row>25</xdr:row>
      <xdr:rowOff>96982</xdr:rowOff>
    </xdr:from>
    <xdr:to>
      <xdr:col>3</xdr:col>
      <xdr:colOff>748145</xdr:colOff>
      <xdr:row>32</xdr:row>
      <xdr:rowOff>213590</xdr:rowOff>
    </xdr:to>
    <xdr:graphicFrame macro="">
      <xdr:nvGraphicFramePr>
        <xdr:cNvPr id="11" name="Chart_CAPEX_ROI">
          <a:extLst>
            <a:ext uri="{FF2B5EF4-FFF2-40B4-BE49-F238E27FC236}">
              <a16:creationId xmlns:a16="http://schemas.microsoft.com/office/drawing/2014/main" id="{3F960E7D-77F7-CF41-4A43-6C78472F9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1164244</xdr:colOff>
      <xdr:row>25</xdr:row>
      <xdr:rowOff>96982</xdr:rowOff>
    </xdr:from>
    <xdr:to>
      <xdr:col>6</xdr:col>
      <xdr:colOff>955964</xdr:colOff>
      <xdr:row>33</xdr:row>
      <xdr:rowOff>0</xdr:rowOff>
    </xdr:to>
    <xdr:graphicFrame macro="">
      <xdr:nvGraphicFramePr>
        <xdr:cNvPr id="12" name="Chart_Capacity">
          <a:extLst>
            <a:ext uri="{FF2B5EF4-FFF2-40B4-BE49-F238E27FC236}">
              <a16:creationId xmlns:a16="http://schemas.microsoft.com/office/drawing/2014/main" id="{A8FC936B-E2A1-4330-413B-78EFAEEAD1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11</xdr:col>
          <xdr:colOff>198120</xdr:colOff>
          <xdr:row>9</xdr:row>
          <xdr:rowOff>68580</xdr:rowOff>
        </xdr:from>
        <xdr:to>
          <xdr:col>11</xdr:col>
          <xdr:colOff>1455420</xdr:colOff>
          <xdr:row>10</xdr:row>
          <xdr:rowOff>106680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CLEAR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1554480</xdr:colOff>
          <xdr:row>9</xdr:row>
          <xdr:rowOff>68580</xdr:rowOff>
        </xdr:from>
        <xdr:to>
          <xdr:col>12</xdr:col>
          <xdr:colOff>1165860</xdr:colOff>
          <xdr:row>10</xdr:row>
          <xdr:rowOff>106680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EXPORT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1539240</xdr:colOff>
          <xdr:row>10</xdr:row>
          <xdr:rowOff>213360</xdr:rowOff>
        </xdr:from>
        <xdr:to>
          <xdr:col>12</xdr:col>
          <xdr:colOff>1150620</xdr:colOff>
          <xdr:row>11</xdr:row>
          <xdr:rowOff>251460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4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EXPORT TO DECK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10</xdr:row>
          <xdr:rowOff>205740</xdr:rowOff>
        </xdr:from>
        <xdr:to>
          <xdr:col>11</xdr:col>
          <xdr:colOff>1455420</xdr:colOff>
          <xdr:row>11</xdr:row>
          <xdr:rowOff>243840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400-00000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REFRESH ALL DATA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ID1" xr10:uid="{8B75C1E2-9254-4CB7-9DC9-7D13441B81BA}" sourceName="Project_ID">
  <extLst>
    <x:ext xmlns:x15="http://schemas.microsoft.com/office/spreadsheetml/2010/11/main" uri="{2F2917AC-EB37-4324-AD4E-5DD8C200BD13}">
      <x15:tableSlicerCache tableId="2"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_ID 1" xr10:uid="{E16BDBB6-812B-429C-B040-731AFFE83E77}" cache="Slicer_Project_ID1" caption="Project_ID" columnCoun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B53AD6-1A7B-48BA-A52A-399AA32C37A1}" name="tbl_projects" displayName="tbl_projects" ref="A1:T13" totalsRowShown="0" headerRowDxfId="51" headerRowBorderDxfId="50" tableBorderDxfId="49">
  <autoFilter ref="A1:T13" xr:uid="{83B53AD6-1A7B-48BA-A52A-399AA32C37A1}"/>
  <tableColumns count="20">
    <tableColumn id="1" xr3:uid="{A97558B8-1823-41BF-BD87-5A0B3082D457}" name="Project_ID" dataDxfId="48"/>
    <tableColumn id="2" xr3:uid="{92F5681A-BDF8-4A53-B182-E205D9CD765D}" name="Project_Name" dataDxfId="47"/>
    <tableColumn id="3" xr3:uid="{27162CA5-9BCA-4867-8782-801267B38D0C}" name="Country" dataDxfId="46"/>
    <tableColumn id="4" xr3:uid="{6ACD7CC0-97A6-4119-8EA5-C0823E133669}" name="Technology" dataDxfId="45"/>
    <tableColumn id="19" xr3:uid="{71DFF1E7-B1CE-49CF-A1ED-8CEA18C1253B}" name="Technology_Type_Clean" dataDxfId="44">
      <calculatedColumnFormula>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calculatedColumnFormula>
    </tableColumn>
    <tableColumn id="5" xr3:uid="{438933D6-D311-437E-A629-13D2D49DEBDB}" name="Status" dataDxfId="43"/>
    <tableColumn id="6" xr3:uid="{65F2147E-D941-4CB6-9176-1BB8D5172A6C}" name="Start_Date" dataDxfId="42"/>
    <tableColumn id="7" xr3:uid="{A66206D9-B9A3-4AE4-BCDB-A43439101EFE}" name="End_Date" dataDxfId="41"/>
    <tableColumn id="8" xr3:uid="{2DF23C73-2881-4064-8EA4-FBD69C7E4197}" name="Duration_days" dataDxfId="40">
      <calculatedColumnFormula>DATEDIF(tbl_projects[[#This Row],[Start_Date]],tbl_projects[[#This Row],[End_Date]],"d")</calculatedColumnFormula>
    </tableColumn>
    <tableColumn id="20" xr3:uid="{618D21E3-8DB7-4DF7-A72D-3C11EE3FE019}" name="Capacity_MW" dataDxfId="39"/>
    <tableColumn id="21" xr3:uid="{778ECD92-E574-4F24-9EB4-55CB2C38B523}" name="CAPEX" dataDxfId="38"/>
    <tableColumn id="9" xr3:uid="{EF7E757C-6DA2-42B1-AD8F-4871AE4DD408}" name="CAPEX_MW" dataDxfId="37">
      <calculatedColumnFormula>tbl_projects[[#This Row],[CAPEX]]/tbl_projects[[#This Row],[Capacity_MW]]</calculatedColumnFormula>
    </tableColumn>
    <tableColumn id="10" xr3:uid="{E33C8C61-C5F0-4309-A1F3-7838FF30E653}" name="OPEX_Annual" dataDxfId="36">
      <calculatedColumnFormula>tbl_projects[[#This Row],[CAPEX]]*(3.1/100)</calculatedColumnFormula>
    </tableColumn>
    <tableColumn id="15" xr3:uid="{D6F51789-6331-4D0C-A542-9C9CA53B57F3}" name="Capacity_Factor" dataDxfId="35" dataCellStyle="Per cent">
      <calculatedColumnFormula>tbl_projects[[#This Row],[Production_MWh]] / (#REF! * 8760)</calculatedColumnFormula>
    </tableColumn>
    <tableColumn id="14" xr3:uid="{64D64794-BB97-4C29-A62B-BECF6E5882CA}" name="Production_MWh" dataDxfId="34">
      <calculatedColumnFormula>tbl_projects[[#This Row],[Capacity_MW]]*8760*tbl_projects[[#This Row],[Capacity_Factor]]</calculatedColumnFormula>
    </tableColumn>
    <tableColumn id="26" xr3:uid="{48321FA1-BB7B-480D-AC0B-075C8D5680F4}" name="Price_MW" dataDxfId="33"/>
    <tableColumn id="11" xr3:uid="{A74456CC-E2E9-417C-8A56-A7F607A31B2E}" name="Revenue_Annual" dataDxfId="32">
      <calculatedColumnFormula>tbl_projects[[#This Row],[Production_MWh]]*tbl_projects[[#This Row],[Price_MW]]</calculatedColumnFormula>
    </tableColumn>
    <tableColumn id="12" xr3:uid="{C0C49C9D-1A91-4B5C-97FA-4825A57DFA2C}" name="ROI" dataCellStyle="Per cent">
      <calculatedColumnFormula>(tbl_projects[[#This Row],[Revenue_Annual]]-tbl_projects[[#This Row],[OPEX_Annual]])/tbl_projects[[#This Row],[CAPEX]]</calculatedColumnFormula>
    </tableColumn>
    <tableColumn id="16" xr3:uid="{23634EE4-75A1-4ACC-88D3-E150C5B9C30F}" name="Project_Manager" dataDxfId="31"/>
    <tableColumn id="17" xr3:uid="{CEBAE817-8879-4D2F-9703-3F869D9EE83B}" name="Risk_Level" dataDxfId="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AFEB36-FCCD-4F96-B796-F0D2FBE8583E}" name="tbl_tasks" displayName="tbl_tasks" ref="A1:L321" totalsRowShown="0" headerRowDxfId="1" dataDxfId="0">
  <autoFilter ref="A1:L321" xr:uid="{4FAFEB36-FCCD-4F96-B796-F0D2FBE8583E}"/>
  <tableColumns count="12">
    <tableColumn id="1" xr3:uid="{AE401BC6-3922-42E1-BA96-F59BF60683D7}" name="Task_ID" dataDxfId="13"/>
    <tableColumn id="2" xr3:uid="{E5396340-626C-41B7-A12B-3FC5D98260F9}" name="Project_ID" dataDxfId="12"/>
    <tableColumn id="10" xr3:uid="{5601B42D-36FB-4A6D-9EA0-367D546F08B8}" name="Technology" dataDxfId="11"/>
    <tableColumn id="3" xr3:uid="{CE56648D-B280-4003-878A-0BA32D52D53E}" name="Task_Name" dataDxfId="10"/>
    <tableColumn id="12" xr3:uid="{6197EE29-F0EA-4AC8-9CCA-BB3887EDF3B6}" name="Final_Priority" dataDxfId="9"/>
    <tableColumn id="4" xr3:uid="{7BE8EFC5-E67A-4DE5-87EE-7926C2D4776F}" name="Start_Date" dataDxfId="8"/>
    <tableColumn id="5" xr3:uid="{D4D7C1AA-3582-4B83-82F8-EAB0F49D8327}" name="End_Date" dataDxfId="7"/>
    <tableColumn id="6" xr3:uid="{9A646E89-3331-4A14-B636-95E171B9759E}" name="Duration" dataDxfId="6"/>
    <tableColumn id="11" xr3:uid="{364F2EFC-F74E-4FC5-A379-385F81F0EEC0}" name="Start_Offset" dataDxfId="5"/>
    <tableColumn id="7" xr3:uid="{32581152-07D7-477B-A430-9C14136DBB62}" name="Status" dataDxfId="4"/>
    <tableColumn id="14" xr3:uid="{775A6D57-3B45-4DE5-AA7E-E1A1833B26D3}" name="Duration_Planned" dataDxfId="3">
      <calculatedColumnFormula>IF(tbl_tasks[[#This Row],[Status]]="Planned",tbl_tasks[[#This Row],[Duration]],NA())</calculatedColumnFormula>
    </tableColumn>
    <tableColumn id="8" xr3:uid="{5AA33636-4DF5-47A2-B7B5-232074BB1C6A}" name="Owner"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A015B-5EC1-4C24-A4E0-F194A41F12AC}">
  <sheetPr codeName="Sheet1">
    <pageSetUpPr fitToPage="1"/>
  </sheetPr>
  <dimension ref="A1:T15"/>
  <sheetViews>
    <sheetView showGridLines="0" zoomScale="70" zoomScaleNormal="70" workbookViewId="0">
      <selection activeCell="K6" sqref="K6"/>
    </sheetView>
  </sheetViews>
  <sheetFormatPr defaultRowHeight="14.4" x14ac:dyDescent="0.3"/>
  <cols>
    <col min="1" max="1" width="14" customWidth="1"/>
    <col min="2" max="2" width="24.88671875" style="8" bestFit="1" customWidth="1"/>
    <col min="3" max="3" width="11.88671875" style="8" bestFit="1" customWidth="1"/>
    <col min="4" max="4" width="40.77734375" style="8" bestFit="1" customWidth="1"/>
    <col min="5" max="5" width="25.109375" style="8" bestFit="1" customWidth="1"/>
    <col min="6" max="6" width="12.5546875" style="8" customWidth="1"/>
    <col min="7" max="7" width="18.77734375" customWidth="1"/>
    <col min="8" max="8" width="13.21875" customWidth="1"/>
    <col min="9" max="9" width="17.21875" bestFit="1" customWidth="1"/>
    <col min="10" max="10" width="16.33203125" customWidth="1"/>
    <col min="11" max="11" width="14.88671875" bestFit="1" customWidth="1"/>
    <col min="12" max="12" width="14.44140625" bestFit="1" customWidth="1"/>
    <col min="13" max="13" width="16.5546875" bestFit="1" customWidth="1"/>
    <col min="14" max="14" width="19.109375" bestFit="1" customWidth="1"/>
    <col min="15" max="15" width="19.88671875" customWidth="1"/>
    <col min="16" max="16" width="13.6640625" customWidth="1"/>
    <col min="17" max="17" width="22.33203125" bestFit="1" customWidth="1"/>
    <col min="18" max="18" width="11.77734375" customWidth="1"/>
    <col min="19" max="19" width="19.33203125" style="8" bestFit="1" customWidth="1"/>
    <col min="20" max="20" width="14.109375" style="8" bestFit="1" customWidth="1"/>
  </cols>
  <sheetData>
    <row r="1" spans="1:20" s="4" customFormat="1" x14ac:dyDescent="0.3">
      <c r="A1" s="3" t="s">
        <v>0</v>
      </c>
      <c r="B1" s="3" t="s">
        <v>1</v>
      </c>
      <c r="C1" s="3" t="s">
        <v>2</v>
      </c>
      <c r="D1" s="3" t="s">
        <v>3</v>
      </c>
      <c r="E1" s="3" t="s">
        <v>55</v>
      </c>
      <c r="F1" s="3" t="s">
        <v>4</v>
      </c>
      <c r="G1" s="3" t="s">
        <v>5</v>
      </c>
      <c r="H1" s="3" t="s">
        <v>6</v>
      </c>
      <c r="I1" s="3" t="s">
        <v>100</v>
      </c>
      <c r="J1" s="3" t="s">
        <v>12</v>
      </c>
      <c r="K1" s="3" t="s">
        <v>8</v>
      </c>
      <c r="L1" s="3" t="s">
        <v>99</v>
      </c>
      <c r="M1" s="3" t="s">
        <v>9</v>
      </c>
      <c r="N1" s="3" t="s">
        <v>14</v>
      </c>
      <c r="O1" s="3" t="s">
        <v>13</v>
      </c>
      <c r="P1" s="3" t="s">
        <v>101</v>
      </c>
      <c r="Q1" s="3" t="s">
        <v>10</v>
      </c>
      <c r="R1" s="3" t="s">
        <v>11</v>
      </c>
      <c r="S1" s="3" t="s">
        <v>15</v>
      </c>
      <c r="T1" s="3" t="s">
        <v>16</v>
      </c>
    </row>
    <row r="2" spans="1:20" x14ac:dyDescent="0.3">
      <c r="A2" s="8" t="s">
        <v>77</v>
      </c>
      <c r="B2" s="8" t="s">
        <v>47</v>
      </c>
      <c r="C2" s="8" t="s">
        <v>41</v>
      </c>
      <c r="D2" s="8" t="s">
        <v>40</v>
      </c>
      <c r="E2"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Hybrid</v>
      </c>
      <c r="F2" s="8" t="s">
        <v>25</v>
      </c>
      <c r="G2" s="10">
        <v>44946</v>
      </c>
      <c r="H2" s="9">
        <v>45952</v>
      </c>
      <c r="I2" s="15">
        <f>DATEDIF(tbl_projects[[#This Row],[Start_Date]],tbl_projects[[#This Row],[End_Date]],"d")</f>
        <v>1006</v>
      </c>
      <c r="J2" s="15">
        <v>200</v>
      </c>
      <c r="K2" s="6">
        <v>250000000</v>
      </c>
      <c r="L2" s="6">
        <f>tbl_projects[[#This Row],[CAPEX]]/tbl_projects[[#This Row],[Capacity_MW]]</f>
        <v>1250000</v>
      </c>
      <c r="M2" s="6">
        <f>tbl_projects[[#This Row],[CAPEX]]*(3.2/100)</f>
        <v>8000000</v>
      </c>
      <c r="N2" s="5">
        <v>0.35</v>
      </c>
      <c r="O2" s="7">
        <f>tbl_projects[[#This Row],[Capacity_MW]]*8760*tbl_projects[[#This Row],[Capacity_Factor]]</f>
        <v>613200</v>
      </c>
      <c r="P2" s="7">
        <v>70</v>
      </c>
      <c r="Q2" s="6">
        <f>tbl_projects[[#This Row],[Production_MWh]]*tbl_projects[[#This Row],[Price_MW]]</f>
        <v>42924000</v>
      </c>
      <c r="R2" s="5">
        <f>(tbl_projects[[#This Row],[Revenue_Annual]]-tbl_projects[[#This Row],[OPEX_Annual]])/tbl_projects[[#This Row],[CAPEX]]</f>
        <v>0.13969599999999999</v>
      </c>
      <c r="S2" s="8" t="s">
        <v>51</v>
      </c>
      <c r="T2" s="8" t="s">
        <v>29</v>
      </c>
    </row>
    <row r="3" spans="1:20" x14ac:dyDescent="0.3">
      <c r="A3" s="8" t="s">
        <v>78</v>
      </c>
      <c r="B3" s="8" t="s">
        <v>92</v>
      </c>
      <c r="C3" s="8" t="s">
        <v>46</v>
      </c>
      <c r="D3" s="8" t="s">
        <v>48</v>
      </c>
      <c r="E3"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Hybrid</v>
      </c>
      <c r="F3" s="8" t="s">
        <v>25</v>
      </c>
      <c r="G3" s="10">
        <v>45511</v>
      </c>
      <c r="H3" s="9">
        <v>46013</v>
      </c>
      <c r="I3" s="15">
        <f>DATEDIF(tbl_projects[[#This Row],[Start_Date]],tbl_projects[[#This Row],[End_Date]],"d")</f>
        <v>502</v>
      </c>
      <c r="J3" s="15">
        <v>150</v>
      </c>
      <c r="K3" s="6">
        <v>160000000</v>
      </c>
      <c r="L3" s="6">
        <f>tbl_projects[[#This Row],[CAPEX]]/tbl_projects[[#This Row],[Capacity_MW]]</f>
        <v>1066666.6666666667</v>
      </c>
      <c r="M3" s="6">
        <f>tbl_projects[[#This Row],[CAPEX]]*(3.1/100)</f>
        <v>4960000</v>
      </c>
      <c r="N3" s="5">
        <v>0.33</v>
      </c>
      <c r="O3" s="7">
        <f>tbl_projects[[#This Row],[Capacity_MW]]*8760*tbl_projects[[#This Row],[Capacity_Factor]]</f>
        <v>433620</v>
      </c>
      <c r="P3" s="7">
        <v>70</v>
      </c>
      <c r="Q3" s="6">
        <f>tbl_projects[[#This Row],[Production_MWh]]*tbl_projects[[#This Row],[Price_MW]]</f>
        <v>30353400</v>
      </c>
      <c r="R3" s="5">
        <f>(tbl_projects[[#This Row],[Revenue_Annual]]-tbl_projects[[#This Row],[OPEX_Annual]])/tbl_projects[[#This Row],[CAPEX]]</f>
        <v>0.15870875000000001</v>
      </c>
      <c r="S3" s="8" t="s">
        <v>53</v>
      </c>
      <c r="T3" s="8" t="s">
        <v>28</v>
      </c>
    </row>
    <row r="4" spans="1:20" x14ac:dyDescent="0.3">
      <c r="A4" s="8" t="s">
        <v>79</v>
      </c>
      <c r="B4" s="8" t="s">
        <v>89</v>
      </c>
      <c r="C4" s="8" t="s">
        <v>41</v>
      </c>
      <c r="D4" s="8" t="s">
        <v>18</v>
      </c>
      <c r="E4"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Wind</v>
      </c>
      <c r="F4" s="8" t="s">
        <v>26</v>
      </c>
      <c r="G4" s="10">
        <v>45010</v>
      </c>
      <c r="H4" s="9">
        <v>45794</v>
      </c>
      <c r="I4" s="15">
        <f>DATEDIF(tbl_projects[[#This Row],[Start_Date]],tbl_projects[[#This Row],[End_Date]],"d")</f>
        <v>784</v>
      </c>
      <c r="J4" s="15">
        <v>180</v>
      </c>
      <c r="K4" s="6">
        <v>225000000</v>
      </c>
      <c r="L4" s="6">
        <f>tbl_projects[[#This Row],[CAPEX]]/tbl_projects[[#This Row],[Capacity_MW]]</f>
        <v>1250000</v>
      </c>
      <c r="M4" s="6">
        <f>tbl_projects[[#This Row],[CAPEX]]*(2.7/100)</f>
        <v>6075000.0000000009</v>
      </c>
      <c r="N4" s="5">
        <v>0.38</v>
      </c>
      <c r="O4" s="7">
        <f>tbl_projects[[#This Row],[Capacity_MW]]*8760*tbl_projects[[#This Row],[Capacity_Factor]]</f>
        <v>599184</v>
      </c>
      <c r="P4" s="7">
        <v>65</v>
      </c>
      <c r="Q4" s="6">
        <f>tbl_projects[[#This Row],[Production_MWh]]*tbl_projects[[#This Row],[Price_MW]]</f>
        <v>38946960</v>
      </c>
      <c r="R4" s="5">
        <f>(tbl_projects[[#This Row],[Revenue_Annual]]-tbl_projects[[#This Row],[OPEX_Annual]])/tbl_projects[[#This Row],[CAPEX]]</f>
        <v>0.14609759999999999</v>
      </c>
      <c r="S4" s="8" t="s">
        <v>52</v>
      </c>
      <c r="T4" s="8" t="s">
        <v>28</v>
      </c>
    </row>
    <row r="5" spans="1:20" x14ac:dyDescent="0.3">
      <c r="A5" s="8" t="s">
        <v>80</v>
      </c>
      <c r="B5" s="8" t="s">
        <v>96</v>
      </c>
      <c r="C5" s="8" t="s">
        <v>46</v>
      </c>
      <c r="D5" s="8" t="s">
        <v>17</v>
      </c>
      <c r="E5"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Solar</v>
      </c>
      <c r="F5" s="8" t="s">
        <v>24</v>
      </c>
      <c r="G5" s="10">
        <v>45148</v>
      </c>
      <c r="H5" s="9">
        <v>45691</v>
      </c>
      <c r="I5" s="15">
        <f>DATEDIF(tbl_projects[[#This Row],[Start_Date]],tbl_projects[[#This Row],[End_Date]],"d")</f>
        <v>543</v>
      </c>
      <c r="J5" s="15">
        <v>120</v>
      </c>
      <c r="K5" s="6">
        <v>100000000</v>
      </c>
      <c r="L5" s="6">
        <f>tbl_projects[[#This Row],[CAPEX]]/tbl_projects[[#This Row],[Capacity_MW]]</f>
        <v>833333.33333333337</v>
      </c>
      <c r="M5" s="6">
        <f>tbl_projects[[#This Row],[CAPEX]]*(2/100)</f>
        <v>2000000</v>
      </c>
      <c r="N5" s="5">
        <v>0.22</v>
      </c>
      <c r="O5" s="7">
        <f>tbl_projects[[#This Row],[Capacity_MW]]*8760*tbl_projects[[#This Row],[Capacity_Factor]]</f>
        <v>231264</v>
      </c>
      <c r="P5" s="7">
        <v>70</v>
      </c>
      <c r="Q5" s="6">
        <f>tbl_projects[[#This Row],[Production_MWh]]*tbl_projects[[#This Row],[Price_MW]]</f>
        <v>16188480</v>
      </c>
      <c r="R5" s="5">
        <f>(tbl_projects[[#This Row],[Revenue_Annual]]-tbl_projects[[#This Row],[OPEX_Annual]])/tbl_projects[[#This Row],[CAPEX]]</f>
        <v>0.14188480000000001</v>
      </c>
      <c r="S5" s="8" t="s">
        <v>50</v>
      </c>
      <c r="T5" s="8" t="s">
        <v>28</v>
      </c>
    </row>
    <row r="6" spans="1:20" x14ac:dyDescent="0.3">
      <c r="A6" s="8" t="s">
        <v>81</v>
      </c>
      <c r="B6" s="8" t="s">
        <v>97</v>
      </c>
      <c r="C6" s="8" t="s">
        <v>46</v>
      </c>
      <c r="D6" s="8" t="s">
        <v>19</v>
      </c>
      <c r="E6"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H2</v>
      </c>
      <c r="F6" s="8" t="s">
        <v>25</v>
      </c>
      <c r="G6" s="10">
        <v>45454</v>
      </c>
      <c r="H6" s="9">
        <v>45989</v>
      </c>
      <c r="I6" s="15">
        <f>DATEDIF(tbl_projects[[#This Row],[Start_Date]],tbl_projects[[#This Row],[End_Date]],"d")</f>
        <v>535</v>
      </c>
      <c r="J6" s="15">
        <v>50</v>
      </c>
      <c r="K6" s="6">
        <v>60000000</v>
      </c>
      <c r="L6" s="6">
        <f>tbl_projects[[#This Row],[CAPEX]]/tbl_projects[[#This Row],[Capacity_MW]]</f>
        <v>1200000</v>
      </c>
      <c r="M6" s="6">
        <f>tbl_projects[[#This Row],[CAPEX]]*(5.8/100)</f>
        <v>3479999.9999999995</v>
      </c>
      <c r="N6" s="5">
        <v>0.5</v>
      </c>
      <c r="O6" s="7">
        <f>tbl_projects[[#This Row],[Capacity_MW]]*8760*tbl_projects[[#This Row],[Capacity_Factor]]</f>
        <v>219000</v>
      </c>
      <c r="P6" s="7">
        <v>75</v>
      </c>
      <c r="Q6" s="6">
        <f>tbl_projects[[#This Row],[Production_MWh]]*tbl_projects[[#This Row],[Price_MW]]</f>
        <v>16425000</v>
      </c>
      <c r="R6" s="5">
        <f>(tbl_projects[[#This Row],[Revenue_Annual]]-tbl_projects[[#This Row],[OPEX_Annual]])/tbl_projects[[#This Row],[CAPEX]]</f>
        <v>0.21575</v>
      </c>
      <c r="S6" s="8" t="s">
        <v>54</v>
      </c>
      <c r="T6" s="8" t="s">
        <v>29</v>
      </c>
    </row>
    <row r="7" spans="1:20" x14ac:dyDescent="0.3">
      <c r="A7" s="8" t="s">
        <v>82</v>
      </c>
      <c r="B7" s="8" t="s">
        <v>91</v>
      </c>
      <c r="C7" s="8" t="s">
        <v>46</v>
      </c>
      <c r="D7" s="8" t="s">
        <v>17</v>
      </c>
      <c r="E7"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Solar</v>
      </c>
      <c r="F7" s="8" t="s">
        <v>24</v>
      </c>
      <c r="G7" s="10">
        <v>45123</v>
      </c>
      <c r="H7" s="9">
        <v>45748</v>
      </c>
      <c r="I7" s="15">
        <f>DATEDIF(tbl_projects[[#This Row],[Start_Date]],tbl_projects[[#This Row],[End_Date]],"d")</f>
        <v>625</v>
      </c>
      <c r="J7" s="15">
        <v>100</v>
      </c>
      <c r="K7" s="6">
        <v>90000000</v>
      </c>
      <c r="L7" s="6">
        <f>tbl_projects[[#This Row],[CAPEX]]/tbl_projects[[#This Row],[Capacity_MW]]</f>
        <v>900000</v>
      </c>
      <c r="M7" s="6">
        <f>tbl_projects[[#This Row],[CAPEX]]*(2.2/100)</f>
        <v>1980000.0000000002</v>
      </c>
      <c r="N7" s="5">
        <v>0.2</v>
      </c>
      <c r="O7" s="7">
        <f>tbl_projects[[#This Row],[Capacity_MW]]*8760*tbl_projects[[#This Row],[Capacity_Factor]]</f>
        <v>175200</v>
      </c>
      <c r="P7" s="7">
        <v>70</v>
      </c>
      <c r="Q7" s="6">
        <f>tbl_projects[[#This Row],[Production_MWh]]*tbl_projects[[#This Row],[Price_MW]]</f>
        <v>12264000</v>
      </c>
      <c r="R7" s="5">
        <f>(tbl_projects[[#This Row],[Revenue_Annual]]-tbl_projects[[#This Row],[OPEX_Annual]])/tbl_projects[[#This Row],[CAPEX]]</f>
        <v>0.11426666666666667</v>
      </c>
      <c r="S7" s="8" t="s">
        <v>49</v>
      </c>
      <c r="T7" s="8" t="s">
        <v>27</v>
      </c>
    </row>
    <row r="8" spans="1:20" x14ac:dyDescent="0.3">
      <c r="A8" s="8" t="s">
        <v>83</v>
      </c>
      <c r="B8" s="8" t="s">
        <v>93</v>
      </c>
      <c r="C8" s="8" t="s">
        <v>42</v>
      </c>
      <c r="D8" s="8" t="s">
        <v>48</v>
      </c>
      <c r="E8"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Hybrid</v>
      </c>
      <c r="F8" s="8" t="s">
        <v>24</v>
      </c>
      <c r="G8" s="10">
        <v>45079</v>
      </c>
      <c r="H8" s="9">
        <v>46006</v>
      </c>
      <c r="I8" s="15">
        <f>DATEDIF(tbl_projects[[#This Row],[Start_Date]],tbl_projects[[#This Row],[End_Date]],"d")</f>
        <v>927</v>
      </c>
      <c r="J8" s="15">
        <v>200</v>
      </c>
      <c r="K8" s="6">
        <v>240000000</v>
      </c>
      <c r="L8" s="6">
        <f>tbl_projects[[#This Row],[CAPEX]]/tbl_projects[[#This Row],[Capacity_MW]]</f>
        <v>1200000</v>
      </c>
      <c r="M8" s="6">
        <f>tbl_projects[[#This Row],[CAPEX]]*(2.5/100)</f>
        <v>6000000</v>
      </c>
      <c r="N8" s="5">
        <v>0.36</v>
      </c>
      <c r="O8" s="7">
        <f>tbl_projects[[#This Row],[Capacity_MW]]*8760*tbl_projects[[#This Row],[Capacity_Factor]]</f>
        <v>630720</v>
      </c>
      <c r="P8" s="7">
        <v>70</v>
      </c>
      <c r="Q8" s="6">
        <f>tbl_projects[[#This Row],[Production_MWh]]*tbl_projects[[#This Row],[Price_MW]]</f>
        <v>44150400</v>
      </c>
      <c r="R8" s="5">
        <f>(tbl_projects[[#This Row],[Revenue_Annual]]-tbl_projects[[#This Row],[OPEX_Annual]])/tbl_projects[[#This Row],[CAPEX]]</f>
        <v>0.15895999999999999</v>
      </c>
      <c r="S8" s="8" t="s">
        <v>52</v>
      </c>
      <c r="T8" s="8" t="s">
        <v>29</v>
      </c>
    </row>
    <row r="9" spans="1:20" x14ac:dyDescent="0.3">
      <c r="A9" s="8" t="s">
        <v>84</v>
      </c>
      <c r="B9" s="8" t="s">
        <v>90</v>
      </c>
      <c r="C9" s="8" t="s">
        <v>45</v>
      </c>
      <c r="D9" s="8" t="s">
        <v>18</v>
      </c>
      <c r="E9"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Wind</v>
      </c>
      <c r="F9" s="8" t="s">
        <v>26</v>
      </c>
      <c r="G9" s="10">
        <v>45315</v>
      </c>
      <c r="H9" s="9">
        <v>45949</v>
      </c>
      <c r="I9" s="15">
        <f>DATEDIF(tbl_projects[[#This Row],[Start_Date]],tbl_projects[[#This Row],[End_Date]],"d")</f>
        <v>634</v>
      </c>
      <c r="J9" s="15">
        <v>150</v>
      </c>
      <c r="K9" s="6">
        <v>300000000</v>
      </c>
      <c r="L9" s="6">
        <f>tbl_projects[[#This Row],[CAPEX]]/tbl_projects[[#This Row],[Capacity_MW]]</f>
        <v>2000000</v>
      </c>
      <c r="M9" s="6">
        <f>tbl_projects[[#This Row],[CAPEX]]*(2.5/100)</f>
        <v>7500000</v>
      </c>
      <c r="N9" s="5">
        <v>0.45</v>
      </c>
      <c r="O9" s="7">
        <f>tbl_projects[[#This Row],[Capacity_MW]]*8760*tbl_projects[[#This Row],[Capacity_Factor]]</f>
        <v>591300</v>
      </c>
      <c r="P9" s="7">
        <v>70</v>
      </c>
      <c r="Q9" s="6">
        <f>tbl_projects[[#This Row],[Production_MWh]]*tbl_projects[[#This Row],[Price_MW]]</f>
        <v>41391000</v>
      </c>
      <c r="R9" s="5">
        <f>(tbl_projects[[#This Row],[Revenue_Annual]]-tbl_projects[[#This Row],[OPEX_Annual]])/tbl_projects[[#This Row],[CAPEX]]</f>
        <v>0.11297</v>
      </c>
      <c r="S9" s="8" t="s">
        <v>51</v>
      </c>
      <c r="T9" s="8" t="s">
        <v>28</v>
      </c>
    </row>
    <row r="10" spans="1:20" x14ac:dyDescent="0.3">
      <c r="A10" s="8" t="s">
        <v>85</v>
      </c>
      <c r="B10" s="8" t="s">
        <v>98</v>
      </c>
      <c r="C10" s="8" t="s">
        <v>46</v>
      </c>
      <c r="D10" s="8" t="s">
        <v>19</v>
      </c>
      <c r="E10"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H2</v>
      </c>
      <c r="F10" s="8" t="s">
        <v>24</v>
      </c>
      <c r="G10" s="10">
        <v>45222</v>
      </c>
      <c r="H10" s="9">
        <v>45726</v>
      </c>
      <c r="I10" s="15">
        <f>DATEDIF(tbl_projects[[#This Row],[Start_Date]],tbl_projects[[#This Row],[End_Date]],"d")</f>
        <v>504</v>
      </c>
      <c r="J10" s="15">
        <v>40</v>
      </c>
      <c r="K10" s="6">
        <v>50000000</v>
      </c>
      <c r="L10" s="6">
        <f>tbl_projects[[#This Row],[CAPEX]]/tbl_projects[[#This Row],[Capacity_MW]]</f>
        <v>1250000</v>
      </c>
      <c r="M10" s="6">
        <f>tbl_projects[[#This Row],[CAPEX]]*(5/100)</f>
        <v>2500000</v>
      </c>
      <c r="N10" s="5">
        <v>0.55000000000000004</v>
      </c>
      <c r="O10" s="7">
        <f>tbl_projects[[#This Row],[Capacity_MW]]*8760*tbl_projects[[#This Row],[Capacity_Factor]]</f>
        <v>192720.00000000003</v>
      </c>
      <c r="P10" s="7">
        <v>75</v>
      </c>
      <c r="Q10" s="6">
        <f>tbl_projects[[#This Row],[Production_MWh]]*tbl_projects[[#This Row],[Price_MW]]</f>
        <v>14454000.000000002</v>
      </c>
      <c r="R10" s="5">
        <f>(tbl_projects[[#This Row],[Revenue_Annual]]-tbl_projects[[#This Row],[OPEX_Annual]])/tbl_projects[[#This Row],[CAPEX]]</f>
        <v>0.23908000000000004</v>
      </c>
      <c r="S10" s="8" t="s">
        <v>54</v>
      </c>
      <c r="T10" s="8" t="s">
        <v>29</v>
      </c>
    </row>
    <row r="11" spans="1:20" x14ac:dyDescent="0.3">
      <c r="A11" s="8" t="s">
        <v>86</v>
      </c>
      <c r="B11" s="8" t="s">
        <v>94</v>
      </c>
      <c r="C11" s="8" t="s">
        <v>42</v>
      </c>
      <c r="D11" s="8" t="s">
        <v>37</v>
      </c>
      <c r="E11"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Hybrid</v>
      </c>
      <c r="F11" s="8" t="s">
        <v>26</v>
      </c>
      <c r="G11" s="13">
        <v>44948</v>
      </c>
      <c r="H11" s="14">
        <v>46093</v>
      </c>
      <c r="I11" s="15">
        <f>DATEDIF(tbl_projects[[#This Row],[Start_Date]],tbl_projects[[#This Row],[End_Date]],"d")</f>
        <v>1145</v>
      </c>
      <c r="J11" s="15">
        <v>180</v>
      </c>
      <c r="K11" s="6">
        <v>160000000</v>
      </c>
      <c r="L11" s="6">
        <f>tbl_projects[[#This Row],[CAPEX]]/tbl_projects[[#This Row],[Capacity_MW]]</f>
        <v>888888.88888888888</v>
      </c>
      <c r="M11" s="6">
        <f>tbl_projects[[#This Row],[CAPEX]]*(2.8/100)</f>
        <v>4480000</v>
      </c>
      <c r="N11" s="5">
        <v>0.3</v>
      </c>
      <c r="O11" s="7">
        <f>tbl_projects[[#This Row],[Capacity_MW]]*8760*tbl_projects[[#This Row],[Capacity_Factor]]</f>
        <v>473040</v>
      </c>
      <c r="P11" s="7">
        <v>70</v>
      </c>
      <c r="Q11" s="6">
        <f>tbl_projects[[#This Row],[Production_MWh]]*tbl_projects[[#This Row],[Price_MW]]</f>
        <v>33112800</v>
      </c>
      <c r="R11" s="5">
        <f>(tbl_projects[[#This Row],[Revenue_Annual]]-tbl_projects[[#This Row],[OPEX_Annual]])/tbl_projects[[#This Row],[CAPEX]]</f>
        <v>0.178955</v>
      </c>
      <c r="S11" s="8" t="s">
        <v>54</v>
      </c>
      <c r="T11" s="8" t="s">
        <v>28</v>
      </c>
    </row>
    <row r="12" spans="1:20" x14ac:dyDescent="0.3">
      <c r="A12" s="8" t="s">
        <v>87</v>
      </c>
      <c r="B12" s="8" t="s">
        <v>43</v>
      </c>
      <c r="C12" s="8" t="s">
        <v>42</v>
      </c>
      <c r="D12" s="8" t="s">
        <v>37</v>
      </c>
      <c r="E12"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Hybrid</v>
      </c>
      <c r="F12" s="8" t="s">
        <v>26</v>
      </c>
      <c r="G12" s="10">
        <v>44947</v>
      </c>
      <c r="H12" s="9">
        <v>45779</v>
      </c>
      <c r="I12" s="15">
        <f>DATEDIF(tbl_projects[[#This Row],[Start_Date]],tbl_projects[[#This Row],[End_Date]],"d")</f>
        <v>832</v>
      </c>
      <c r="J12" s="15">
        <v>200</v>
      </c>
      <c r="K12" s="6">
        <v>180000000</v>
      </c>
      <c r="L12" s="6">
        <f>tbl_projects[[#This Row],[CAPEX]]/tbl_projects[[#This Row],[Capacity_MW]]</f>
        <v>900000</v>
      </c>
      <c r="M12" s="6">
        <f>tbl_projects[[#This Row],[CAPEX]]*(2.8/100)</f>
        <v>5039999.9999999991</v>
      </c>
      <c r="N12" s="5">
        <v>0.28000000000000003</v>
      </c>
      <c r="O12" s="7">
        <f>tbl_projects[[#This Row],[Capacity_MW]]*8760*tbl_projects[[#This Row],[Capacity_Factor]]</f>
        <v>490560.00000000006</v>
      </c>
      <c r="P12" s="7">
        <v>70</v>
      </c>
      <c r="Q12" s="6">
        <f>tbl_projects[[#This Row],[Production_MWh]]*tbl_projects[[#This Row],[Price_MW]]</f>
        <v>34339200.000000007</v>
      </c>
      <c r="R12" s="5">
        <f>(tbl_projects[[#This Row],[Revenue_Annual]]-tbl_projects[[#This Row],[OPEX_Annual]])/tbl_projects[[#This Row],[CAPEX]]</f>
        <v>0.16277333333333338</v>
      </c>
      <c r="S12" s="8" t="s">
        <v>53</v>
      </c>
      <c r="T12" s="8" t="s">
        <v>28</v>
      </c>
    </row>
    <row r="13" spans="1:20" x14ac:dyDescent="0.3">
      <c r="A13" s="8" t="s">
        <v>88</v>
      </c>
      <c r="B13" s="8" t="s">
        <v>95</v>
      </c>
      <c r="C13" s="8" t="s">
        <v>45</v>
      </c>
      <c r="D13" s="8" t="s">
        <v>40</v>
      </c>
      <c r="E13" s="8" t="str">
        <f>IF(ISNUMBER(SEARCH("Hybrid",TRIM(tbl_projects[[#This Row],[Technology]]))),"Hybrid",
IF(ISNUMBER(SEARCH("Solar",tbl_projects[[#This Row],[Technology]])),"Solar",
IF(ISNUMBER(SEARCH("Wind",tbl_projects[[#This Row],[Technology]])),"Wind",
IF(ISNUMBER(SEARCH("Hydrogen",tbl_projects[[#This Row],[Technology]])),"H2",
IF(ISNUMBER(SEARCH("Storage",tbl_projects[[#This Row],[Technology]])),"Storage","Other")))))</f>
        <v>Hybrid</v>
      </c>
      <c r="F13" s="8" t="s">
        <v>25</v>
      </c>
      <c r="G13" s="9">
        <v>45013</v>
      </c>
      <c r="H13" s="9">
        <v>45999</v>
      </c>
      <c r="I13" s="15">
        <f>DATEDIF(tbl_projects[[#This Row],[Start_Date]],tbl_projects[[#This Row],[End_Date]],"d")</f>
        <v>986</v>
      </c>
      <c r="J13" s="15">
        <v>220</v>
      </c>
      <c r="K13" s="6">
        <v>275000000</v>
      </c>
      <c r="L13" s="6">
        <f>tbl_projects[[#This Row],[CAPEX]]/tbl_projects[[#This Row],[Capacity_MW]]</f>
        <v>1250000</v>
      </c>
      <c r="M13" s="6">
        <f>tbl_projects[[#This Row],[CAPEX]]*(2.4/100)</f>
        <v>6600000</v>
      </c>
      <c r="N13" s="5">
        <v>0.34</v>
      </c>
      <c r="O13" s="7">
        <f>tbl_projects[[#This Row],[Capacity_MW]]*8760*tbl_projects[[#This Row],[Capacity_Factor]]</f>
        <v>655248</v>
      </c>
      <c r="P13" s="7">
        <v>70</v>
      </c>
      <c r="Q13" s="6">
        <f>tbl_projects[[#This Row],[Production_MWh]]*tbl_projects[[#This Row],[Price_MW]]</f>
        <v>45867360</v>
      </c>
      <c r="R13" s="5">
        <f>(tbl_projects[[#This Row],[Revenue_Annual]]-tbl_projects[[#This Row],[OPEX_Annual]])/tbl_projects[[#This Row],[CAPEX]]</f>
        <v>0.14279040000000001</v>
      </c>
      <c r="S13" s="8" t="s">
        <v>50</v>
      </c>
      <c r="T13" s="8" t="s">
        <v>29</v>
      </c>
    </row>
    <row r="15" spans="1:20" x14ac:dyDescent="0.3">
      <c r="G15" s="10"/>
      <c r="H15" s="9"/>
    </row>
  </sheetData>
  <sheetProtection algorithmName="SHA-512" hashValue="lbmqYwcMlm+taRyFpv6GHEQQnRFqbne/zdQdXGVWE2YcaKtMTYlvQXTF048SrBU38gKxr34dyL0hHnLB9Ou1sg==" saltValue="Wr9yVOvcVmE5qZYMUVW55w==" spinCount="100000" sheet="1" selectLockedCells="1"/>
  <phoneticPr fontId="3" type="noConversion"/>
  <pageMargins left="0.7" right="0.7" top="0.75" bottom="0.75" header="0.3" footer="0.3"/>
  <pageSetup paperSize="9" scale="37" orientation="landscape"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356D6860-1165-4FE5-B10E-5F66D9A867C5}">
            <xm:f>NOT(ISERROR(SEARCH("Low",T2)))</xm:f>
            <xm:f>"Low"</xm:f>
            <x14:dxf>
              <font>
                <b/>
                <i val="0"/>
                <color theme="0"/>
              </font>
              <fill>
                <patternFill>
                  <bgColor theme="6" tint="0.39994506668294322"/>
                </patternFill>
              </fill>
            </x14:dxf>
          </x14:cfRule>
          <x14:cfRule type="containsText" priority="2" operator="containsText" id="{35DFB275-B180-4CBB-9ABD-3889CE1EB8C4}">
            <xm:f>NOT(ISERROR(SEARCH("Medium",T2)))</xm:f>
            <xm:f>"Medium"</xm:f>
            <x14:dxf>
              <font>
                <b/>
                <i val="0"/>
                <color theme="0"/>
              </font>
              <fill>
                <patternFill>
                  <bgColor rgb="FFFFD54F"/>
                </patternFill>
              </fill>
            </x14:dxf>
          </x14:cfRule>
          <x14:cfRule type="containsText" priority="3" operator="containsText" id="{13F18FF7-1509-400E-AE91-0FD37D36A0D0}">
            <xm:f>NOT(ISERROR(SEARCH("High",T2)))</xm:f>
            <xm:f>"High"</xm:f>
            <x14:dxf>
              <font>
                <b/>
                <i val="0"/>
                <color theme="0"/>
              </font>
              <fill>
                <patternFill>
                  <bgColor rgb="FFFF4343"/>
                </patternFill>
              </fill>
            </x14:dxf>
          </x14:cfRule>
          <xm:sqref>T2:T13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0FCD7CA-DC81-4768-B1D0-E7C03B031F4D}">
          <x14:formula1>
            <xm:f>Lists!$B$2:$B$13</xm:f>
          </x14:formula1>
          <xm:sqref>D2:D13</xm:sqref>
        </x14:dataValidation>
        <x14:dataValidation type="list" allowBlank="1" showInputMessage="1" showErrorMessage="1" xr:uid="{F670AE1C-06D4-482B-A06A-05A7E292E8DD}">
          <x14:formula1>
            <xm:f>Lists!$C$2:$C$4</xm:f>
          </x14:formula1>
          <xm:sqref>F2:F13</xm:sqref>
        </x14:dataValidation>
        <x14:dataValidation type="list" allowBlank="1" showInputMessage="1" showErrorMessage="1" xr:uid="{0473F5C7-4881-43C9-A54B-2EDE5667FBA3}">
          <x14:formula1>
            <xm:f>Lists!$D$2:$D$4</xm:f>
          </x14:formula1>
          <xm:sqref>T2:T13</xm:sqref>
        </x14:dataValidation>
        <x14:dataValidation type="list" allowBlank="1" showInputMessage="1" showErrorMessage="1" xr:uid="{07D0D972-24C0-4A1B-ADE5-ED86B15CC005}">
          <x14:formula1>
            <xm:f>Lists!$A$2:$A$6</xm:f>
          </x14:formula1>
          <xm:sqref>C2:C13</xm:sqref>
        </x14:dataValidation>
        <x14:dataValidation type="list" allowBlank="1" showInputMessage="1" showErrorMessage="1" xr:uid="{EC8F68DE-A8DD-4604-A591-436DCD9034B1}">
          <x14:formula1>
            <xm:f>Lists!$E$2:$E$7</xm:f>
          </x14:formula1>
          <xm:sqref>S2:S13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5025-66EF-4A9E-841B-9914F8FB7F4F}">
  <sheetPr codeName="Sheet2">
    <pageSetUpPr fitToPage="1"/>
  </sheetPr>
  <dimension ref="A1:L321"/>
  <sheetViews>
    <sheetView showGridLines="0" topLeftCell="D1" zoomScale="60" zoomScaleNormal="60" workbookViewId="0">
      <selection activeCell="T12" sqref="T12"/>
    </sheetView>
  </sheetViews>
  <sheetFormatPr defaultRowHeight="14.4" x14ac:dyDescent="0.3"/>
  <cols>
    <col min="1" max="1" width="11.109375" style="1" bestFit="1" customWidth="1"/>
    <col min="2" max="2" width="18.109375" style="1" customWidth="1"/>
    <col min="3" max="3" width="28.109375" style="1" customWidth="1"/>
    <col min="4" max="4" width="32" style="1" bestFit="1" customWidth="1"/>
    <col min="5" max="5" width="11.44140625" style="11" customWidth="1"/>
    <col min="6" max="6" width="17" style="12" bestFit="1" customWidth="1"/>
    <col min="7" max="7" width="16.21875" style="12" bestFit="1" customWidth="1"/>
    <col min="8" max="8" width="14.88671875" style="1" bestFit="1" customWidth="1"/>
    <col min="9" max="9" width="22.88671875" style="1" customWidth="1"/>
    <col min="10" max="11" width="21.33203125" style="1" customWidth="1"/>
    <col min="12" max="12" width="13.33203125" style="1" customWidth="1"/>
    <col min="13" max="16384" width="8.88671875" style="1"/>
  </cols>
  <sheetData>
    <row r="1" spans="1:12" s="2" customFormat="1" x14ac:dyDescent="0.3">
      <c r="A1" s="16" t="s">
        <v>30</v>
      </c>
      <c r="B1" s="16" t="s">
        <v>0</v>
      </c>
      <c r="C1" s="16" t="s">
        <v>3</v>
      </c>
      <c r="D1" s="16" t="s">
        <v>31</v>
      </c>
      <c r="E1" s="16" t="s">
        <v>76</v>
      </c>
      <c r="F1" s="17" t="s">
        <v>5</v>
      </c>
      <c r="G1" s="17" t="s">
        <v>6</v>
      </c>
      <c r="H1" s="16" t="s">
        <v>7</v>
      </c>
      <c r="I1" s="18" t="s">
        <v>75</v>
      </c>
      <c r="J1" s="16" t="s">
        <v>4</v>
      </c>
      <c r="K1" s="16" t="s">
        <v>435</v>
      </c>
      <c r="L1" s="16" t="s">
        <v>32</v>
      </c>
    </row>
    <row r="2" spans="1:12" x14ac:dyDescent="0.3">
      <c r="A2" s="19" t="s">
        <v>115</v>
      </c>
      <c r="B2" s="20" t="s">
        <v>77</v>
      </c>
      <c r="C2" s="20" t="s">
        <v>74</v>
      </c>
      <c r="D2" s="19" t="s">
        <v>56</v>
      </c>
      <c r="E2" s="21">
        <v>1</v>
      </c>
      <c r="F2" s="22">
        <v>44946</v>
      </c>
      <c r="G2" s="22">
        <v>45001</v>
      </c>
      <c r="H2" s="23">
        <v>55</v>
      </c>
      <c r="I2" s="24">
        <v>0</v>
      </c>
      <c r="J2" s="19" t="s">
        <v>24</v>
      </c>
      <c r="K2" s="23">
        <f>IF(tbl_tasks[[#This Row],[Status]]="Planned",tbl_tasks[[#This Row],[Duration]],NA())</f>
        <v>55</v>
      </c>
      <c r="L2" s="19"/>
    </row>
    <row r="3" spans="1:12" x14ac:dyDescent="0.3">
      <c r="A3" s="19" t="s">
        <v>116</v>
      </c>
      <c r="B3" s="20" t="s">
        <v>77</v>
      </c>
      <c r="C3" s="20" t="s">
        <v>74</v>
      </c>
      <c r="D3" s="19" t="s">
        <v>62</v>
      </c>
      <c r="E3" s="21">
        <v>2</v>
      </c>
      <c r="F3" s="22">
        <v>45001</v>
      </c>
      <c r="G3" s="22">
        <v>45056</v>
      </c>
      <c r="H3" s="23">
        <v>55</v>
      </c>
      <c r="I3" s="24">
        <v>55</v>
      </c>
      <c r="J3" s="19" t="s">
        <v>24</v>
      </c>
      <c r="K3" s="23">
        <f>IF(tbl_tasks[[#This Row],[Status]]="Planned",tbl_tasks[[#This Row],[Duration]],NA())</f>
        <v>55</v>
      </c>
      <c r="L3" s="19"/>
    </row>
    <row r="4" spans="1:12" x14ac:dyDescent="0.3">
      <c r="A4" s="19" t="s">
        <v>117</v>
      </c>
      <c r="B4" s="20" t="s">
        <v>77</v>
      </c>
      <c r="C4" s="20" t="s">
        <v>74</v>
      </c>
      <c r="D4" s="19" t="s">
        <v>63</v>
      </c>
      <c r="E4" s="21">
        <v>3</v>
      </c>
      <c r="F4" s="22">
        <v>45056</v>
      </c>
      <c r="G4" s="22">
        <v>45111</v>
      </c>
      <c r="H4" s="23">
        <v>55</v>
      </c>
      <c r="I4" s="24">
        <v>110</v>
      </c>
      <c r="J4" s="19" t="s">
        <v>24</v>
      </c>
      <c r="K4" s="23">
        <f>IF(tbl_tasks[[#This Row],[Status]]="Planned",tbl_tasks[[#This Row],[Duration]],NA())</f>
        <v>55</v>
      </c>
      <c r="L4" s="19"/>
    </row>
    <row r="5" spans="1:12" x14ac:dyDescent="0.3">
      <c r="A5" s="19" t="s">
        <v>118</v>
      </c>
      <c r="B5" s="20" t="s">
        <v>77</v>
      </c>
      <c r="C5" s="20" t="s">
        <v>74</v>
      </c>
      <c r="D5" s="19" t="s">
        <v>438</v>
      </c>
      <c r="E5" s="21">
        <v>4</v>
      </c>
      <c r="F5" s="22">
        <v>45111</v>
      </c>
      <c r="G5" s="22">
        <v>45166</v>
      </c>
      <c r="H5" s="23">
        <v>55</v>
      </c>
      <c r="I5" s="24">
        <v>165</v>
      </c>
      <c r="J5" s="19" t="s">
        <v>24</v>
      </c>
      <c r="K5" s="23">
        <f>IF(tbl_tasks[[#This Row],[Status]]="Planned",tbl_tasks[[#This Row],[Duration]],NA())</f>
        <v>55</v>
      </c>
      <c r="L5" s="19"/>
    </row>
    <row r="6" spans="1:12" x14ac:dyDescent="0.3">
      <c r="A6" s="19" t="s">
        <v>119</v>
      </c>
      <c r="B6" s="20" t="s">
        <v>77</v>
      </c>
      <c r="C6" s="20" t="s">
        <v>74</v>
      </c>
      <c r="D6" s="19" t="s">
        <v>33</v>
      </c>
      <c r="E6" s="21">
        <v>5</v>
      </c>
      <c r="F6" s="22">
        <v>45166</v>
      </c>
      <c r="G6" s="22">
        <v>45221</v>
      </c>
      <c r="H6" s="23">
        <v>55</v>
      </c>
      <c r="I6" s="24">
        <v>220</v>
      </c>
      <c r="J6" s="19" t="s">
        <v>24</v>
      </c>
      <c r="K6" s="23">
        <f>IF(tbl_tasks[[#This Row],[Status]]="Planned",tbl_tasks[[#This Row],[Duration]],NA())</f>
        <v>55</v>
      </c>
      <c r="L6" s="19"/>
    </row>
    <row r="7" spans="1:12" x14ac:dyDescent="0.3">
      <c r="A7" s="19" t="s">
        <v>120</v>
      </c>
      <c r="B7" s="20" t="s">
        <v>77</v>
      </c>
      <c r="C7" s="20" t="s">
        <v>74</v>
      </c>
      <c r="D7" s="19" t="s">
        <v>34</v>
      </c>
      <c r="E7" s="21">
        <v>6</v>
      </c>
      <c r="F7" s="22">
        <v>45221</v>
      </c>
      <c r="G7" s="22">
        <v>45276</v>
      </c>
      <c r="H7" s="23">
        <v>55</v>
      </c>
      <c r="I7" s="24">
        <v>275</v>
      </c>
      <c r="J7" s="19" t="s">
        <v>24</v>
      </c>
      <c r="K7" s="23">
        <f>IF(tbl_tasks[[#This Row],[Status]]="Planned",tbl_tasks[[#This Row],[Duration]],NA())</f>
        <v>55</v>
      </c>
      <c r="L7" s="19"/>
    </row>
    <row r="8" spans="1:12" x14ac:dyDescent="0.3">
      <c r="A8" s="19" t="s">
        <v>121</v>
      </c>
      <c r="B8" s="20" t="s">
        <v>77</v>
      </c>
      <c r="C8" s="20" t="s">
        <v>74</v>
      </c>
      <c r="D8" s="19" t="s">
        <v>68</v>
      </c>
      <c r="E8" s="21">
        <v>7</v>
      </c>
      <c r="F8" s="22">
        <v>45276</v>
      </c>
      <c r="G8" s="22">
        <v>45331</v>
      </c>
      <c r="H8" s="23">
        <v>55</v>
      </c>
      <c r="I8" s="24">
        <v>330</v>
      </c>
      <c r="J8" s="19" t="s">
        <v>24</v>
      </c>
      <c r="K8" s="23">
        <f>IF(tbl_tasks[[#This Row],[Status]]="Planned",tbl_tasks[[#This Row],[Duration]],NA())</f>
        <v>55</v>
      </c>
      <c r="L8" s="19"/>
    </row>
    <row r="9" spans="1:12" x14ac:dyDescent="0.3">
      <c r="A9" s="19" t="s">
        <v>122</v>
      </c>
      <c r="B9" s="20" t="s">
        <v>77</v>
      </c>
      <c r="C9" s="20" t="s">
        <v>74</v>
      </c>
      <c r="D9" s="19" t="s">
        <v>66</v>
      </c>
      <c r="E9" s="21">
        <v>8</v>
      </c>
      <c r="F9" s="22">
        <v>45331</v>
      </c>
      <c r="G9" s="22">
        <v>45386</v>
      </c>
      <c r="H9" s="23">
        <v>55</v>
      </c>
      <c r="I9" s="24">
        <v>385</v>
      </c>
      <c r="J9" s="19" t="s">
        <v>24</v>
      </c>
      <c r="K9" s="23">
        <f>IF(tbl_tasks[[#This Row],[Status]]="Planned",tbl_tasks[[#This Row],[Duration]],NA())</f>
        <v>55</v>
      </c>
      <c r="L9" s="19"/>
    </row>
    <row r="10" spans="1:12" x14ac:dyDescent="0.3">
      <c r="A10" s="19" t="s">
        <v>123</v>
      </c>
      <c r="B10" s="20" t="s">
        <v>77</v>
      </c>
      <c r="C10" s="20" t="s">
        <v>74</v>
      </c>
      <c r="D10" s="19" t="s">
        <v>67</v>
      </c>
      <c r="E10" s="21">
        <v>9</v>
      </c>
      <c r="F10" s="22">
        <v>45386</v>
      </c>
      <c r="G10" s="22">
        <v>45441</v>
      </c>
      <c r="H10" s="23">
        <v>55</v>
      </c>
      <c r="I10" s="24">
        <v>440</v>
      </c>
      <c r="J10" s="19" t="s">
        <v>24</v>
      </c>
      <c r="K10" s="23">
        <f>IF(tbl_tasks[[#This Row],[Status]]="Planned",tbl_tasks[[#This Row],[Duration]],NA())</f>
        <v>55</v>
      </c>
      <c r="L10" s="19"/>
    </row>
    <row r="11" spans="1:12" x14ac:dyDescent="0.3">
      <c r="A11" s="19" t="s">
        <v>124</v>
      </c>
      <c r="B11" s="20" t="s">
        <v>77</v>
      </c>
      <c r="C11" s="20" t="s">
        <v>74</v>
      </c>
      <c r="D11" s="19" t="s">
        <v>35</v>
      </c>
      <c r="E11" s="21">
        <v>10</v>
      </c>
      <c r="F11" s="22">
        <v>45441</v>
      </c>
      <c r="G11" s="22">
        <v>45499</v>
      </c>
      <c r="H11" s="23">
        <v>58</v>
      </c>
      <c r="I11" s="24">
        <v>495</v>
      </c>
      <c r="J11" s="19" t="s">
        <v>24</v>
      </c>
      <c r="K11" s="23">
        <f>IF(tbl_tasks[[#This Row],[Status]]="Planned",tbl_tasks[[#This Row],[Duration]],NA())</f>
        <v>58</v>
      </c>
      <c r="L11" s="19"/>
    </row>
    <row r="12" spans="1:12" x14ac:dyDescent="0.3">
      <c r="A12" s="19" t="s">
        <v>125</v>
      </c>
      <c r="B12" s="20" t="s">
        <v>77</v>
      </c>
      <c r="C12" s="20" t="s">
        <v>17</v>
      </c>
      <c r="D12" s="19" t="s">
        <v>57</v>
      </c>
      <c r="E12" s="21">
        <v>11</v>
      </c>
      <c r="F12" s="22">
        <v>45499</v>
      </c>
      <c r="G12" s="22">
        <v>45549</v>
      </c>
      <c r="H12" s="23">
        <v>50</v>
      </c>
      <c r="I12" s="24">
        <v>553</v>
      </c>
      <c r="J12" s="19" t="s">
        <v>24</v>
      </c>
      <c r="K12" s="23">
        <f>IF(tbl_tasks[[#This Row],[Status]]="Planned",tbl_tasks[[#This Row],[Duration]],NA())</f>
        <v>50</v>
      </c>
      <c r="L12" s="19"/>
    </row>
    <row r="13" spans="1:12" x14ac:dyDescent="0.3">
      <c r="A13" s="19" t="s">
        <v>126</v>
      </c>
      <c r="B13" s="20" t="s">
        <v>77</v>
      </c>
      <c r="C13" s="20" t="s">
        <v>17</v>
      </c>
      <c r="D13" s="19" t="s">
        <v>65</v>
      </c>
      <c r="E13" s="21">
        <v>12</v>
      </c>
      <c r="F13" s="22">
        <v>45549</v>
      </c>
      <c r="G13" s="22">
        <v>45599</v>
      </c>
      <c r="H13" s="23">
        <v>50</v>
      </c>
      <c r="I13" s="24">
        <v>603</v>
      </c>
      <c r="J13" s="19" t="s">
        <v>24</v>
      </c>
      <c r="K13" s="23">
        <f>IF(tbl_tasks[[#This Row],[Status]]="Planned",tbl_tasks[[#This Row],[Duration]],NA())</f>
        <v>50</v>
      </c>
      <c r="L13" s="19"/>
    </row>
    <row r="14" spans="1:12" x14ac:dyDescent="0.3">
      <c r="A14" s="19" t="s">
        <v>127</v>
      </c>
      <c r="B14" s="20" t="s">
        <v>77</v>
      </c>
      <c r="C14" s="20" t="s">
        <v>17</v>
      </c>
      <c r="D14" s="19" t="s">
        <v>58</v>
      </c>
      <c r="E14" s="21">
        <v>13</v>
      </c>
      <c r="F14" s="22">
        <v>45599</v>
      </c>
      <c r="G14" s="22">
        <v>45649</v>
      </c>
      <c r="H14" s="23">
        <v>50</v>
      </c>
      <c r="I14" s="24">
        <v>653</v>
      </c>
      <c r="J14" s="19" t="s">
        <v>24</v>
      </c>
      <c r="K14" s="23">
        <f>IF(tbl_tasks[[#This Row],[Status]]="Planned",tbl_tasks[[#This Row],[Duration]],NA())</f>
        <v>50</v>
      </c>
      <c r="L14" s="19"/>
    </row>
    <row r="15" spans="1:12" x14ac:dyDescent="0.3">
      <c r="A15" s="19" t="s">
        <v>128</v>
      </c>
      <c r="B15" s="20" t="s">
        <v>77</v>
      </c>
      <c r="C15" s="20" t="s">
        <v>17</v>
      </c>
      <c r="D15" s="19" t="s">
        <v>103</v>
      </c>
      <c r="E15" s="21">
        <v>14</v>
      </c>
      <c r="F15" s="22">
        <v>45649</v>
      </c>
      <c r="G15" s="22">
        <v>45699</v>
      </c>
      <c r="H15" s="23">
        <v>50</v>
      </c>
      <c r="I15" s="24">
        <v>703</v>
      </c>
      <c r="J15" s="19" t="s">
        <v>24</v>
      </c>
      <c r="K15" s="23">
        <f>IF(tbl_tasks[[#This Row],[Status]]="Planned",tbl_tasks[[#This Row],[Duration]],NA())</f>
        <v>50</v>
      </c>
      <c r="L15" s="19"/>
    </row>
    <row r="16" spans="1:12" x14ac:dyDescent="0.3">
      <c r="A16" s="19" t="s">
        <v>129</v>
      </c>
      <c r="B16" s="20" t="s">
        <v>77</v>
      </c>
      <c r="C16" s="20" t="s">
        <v>17</v>
      </c>
      <c r="D16" s="19" t="s">
        <v>104</v>
      </c>
      <c r="E16" s="21">
        <v>15</v>
      </c>
      <c r="F16" s="22">
        <v>45699</v>
      </c>
      <c r="G16" s="22">
        <v>45750</v>
      </c>
      <c r="H16" s="23">
        <v>51</v>
      </c>
      <c r="I16" s="24">
        <v>753</v>
      </c>
      <c r="J16" s="19" t="s">
        <v>24</v>
      </c>
      <c r="K16" s="23">
        <f>IF(tbl_tasks[[#This Row],[Status]]="Planned",tbl_tasks[[#This Row],[Duration]],NA())</f>
        <v>51</v>
      </c>
      <c r="L16" s="19"/>
    </row>
    <row r="17" spans="1:12" x14ac:dyDescent="0.3">
      <c r="A17" s="19" t="s">
        <v>130</v>
      </c>
      <c r="B17" s="20" t="s">
        <v>77</v>
      </c>
      <c r="C17" s="20" t="s">
        <v>18</v>
      </c>
      <c r="D17" s="19" t="s">
        <v>57</v>
      </c>
      <c r="E17" s="21">
        <v>16</v>
      </c>
      <c r="F17" s="22">
        <v>45499</v>
      </c>
      <c r="G17" s="22">
        <v>45549</v>
      </c>
      <c r="H17" s="23">
        <v>50</v>
      </c>
      <c r="I17" s="24">
        <v>553</v>
      </c>
      <c r="J17" s="19" t="s">
        <v>24</v>
      </c>
      <c r="K17" s="23">
        <f>IF(tbl_tasks[[#This Row],[Status]]="Planned",tbl_tasks[[#This Row],[Duration]],NA())</f>
        <v>50</v>
      </c>
      <c r="L17" s="19"/>
    </row>
    <row r="18" spans="1:12" x14ac:dyDescent="0.3">
      <c r="A18" s="19" t="s">
        <v>131</v>
      </c>
      <c r="B18" s="20" t="s">
        <v>77</v>
      </c>
      <c r="C18" s="20" t="s">
        <v>18</v>
      </c>
      <c r="D18" s="19" t="s">
        <v>69</v>
      </c>
      <c r="E18" s="21">
        <v>17</v>
      </c>
      <c r="F18" s="22">
        <v>45549</v>
      </c>
      <c r="G18" s="22">
        <v>45599</v>
      </c>
      <c r="H18" s="23">
        <v>50</v>
      </c>
      <c r="I18" s="24">
        <v>603</v>
      </c>
      <c r="J18" s="19" t="s">
        <v>24</v>
      </c>
      <c r="K18" s="23">
        <f>IF(tbl_tasks[[#This Row],[Status]]="Planned",tbl_tasks[[#This Row],[Duration]],NA())</f>
        <v>50</v>
      </c>
      <c r="L18" s="19"/>
    </row>
    <row r="19" spans="1:12" x14ac:dyDescent="0.3">
      <c r="A19" s="19" t="s">
        <v>132</v>
      </c>
      <c r="B19" s="20" t="s">
        <v>77</v>
      </c>
      <c r="C19" s="20" t="s">
        <v>18</v>
      </c>
      <c r="D19" s="19" t="s">
        <v>70</v>
      </c>
      <c r="E19" s="21">
        <v>18</v>
      </c>
      <c r="F19" s="22">
        <v>45599</v>
      </c>
      <c r="G19" s="22">
        <v>45649</v>
      </c>
      <c r="H19" s="23">
        <v>50</v>
      </c>
      <c r="I19" s="24">
        <v>653</v>
      </c>
      <c r="J19" s="19" t="s">
        <v>24</v>
      </c>
      <c r="K19" s="23">
        <f>IF(tbl_tasks[[#This Row],[Status]]="Planned",tbl_tasks[[#This Row],[Duration]],NA())</f>
        <v>50</v>
      </c>
      <c r="L19" s="19"/>
    </row>
    <row r="20" spans="1:12" x14ac:dyDescent="0.3">
      <c r="A20" s="19" t="s">
        <v>133</v>
      </c>
      <c r="B20" s="20" t="s">
        <v>77</v>
      </c>
      <c r="C20" s="20" t="s">
        <v>18</v>
      </c>
      <c r="D20" s="19" t="s">
        <v>59</v>
      </c>
      <c r="E20" s="21">
        <v>19</v>
      </c>
      <c r="F20" s="22">
        <v>45649</v>
      </c>
      <c r="G20" s="22">
        <v>45699</v>
      </c>
      <c r="H20" s="23">
        <v>50</v>
      </c>
      <c r="I20" s="24">
        <v>703</v>
      </c>
      <c r="J20" s="19" t="s">
        <v>24</v>
      </c>
      <c r="K20" s="23">
        <f>IF(tbl_tasks[[#This Row],[Status]]="Planned",tbl_tasks[[#This Row],[Duration]],NA())</f>
        <v>50</v>
      </c>
      <c r="L20" s="19"/>
    </row>
    <row r="21" spans="1:12" x14ac:dyDescent="0.3">
      <c r="A21" s="19" t="s">
        <v>134</v>
      </c>
      <c r="B21" s="20" t="s">
        <v>77</v>
      </c>
      <c r="C21" s="20" t="s">
        <v>18</v>
      </c>
      <c r="D21" s="19" t="s">
        <v>105</v>
      </c>
      <c r="E21" s="21">
        <v>20</v>
      </c>
      <c r="F21" s="22">
        <v>45699</v>
      </c>
      <c r="G21" s="22">
        <v>45750</v>
      </c>
      <c r="H21" s="23">
        <v>51</v>
      </c>
      <c r="I21" s="24">
        <v>753</v>
      </c>
      <c r="J21" s="19" t="s">
        <v>24</v>
      </c>
      <c r="K21" s="23">
        <f>IF(tbl_tasks[[#This Row],[Status]]="Planned",tbl_tasks[[#This Row],[Duration]],NA())</f>
        <v>51</v>
      </c>
      <c r="L21" s="19"/>
    </row>
    <row r="22" spans="1:12" x14ac:dyDescent="0.3">
      <c r="A22" s="19" t="s">
        <v>135</v>
      </c>
      <c r="B22" s="20" t="s">
        <v>77</v>
      </c>
      <c r="C22" s="20" t="s">
        <v>19</v>
      </c>
      <c r="D22" s="19" t="s">
        <v>60</v>
      </c>
      <c r="E22" s="21">
        <v>21</v>
      </c>
      <c r="F22" s="22">
        <v>45499</v>
      </c>
      <c r="G22" s="22">
        <v>45549</v>
      </c>
      <c r="H22" s="23">
        <v>50</v>
      </c>
      <c r="I22" s="24">
        <v>553</v>
      </c>
      <c r="J22" s="19" t="s">
        <v>24</v>
      </c>
      <c r="K22" s="23">
        <f>IF(tbl_tasks[[#This Row],[Status]]="Planned",tbl_tasks[[#This Row],[Duration]],NA())</f>
        <v>50</v>
      </c>
      <c r="L22" s="19"/>
    </row>
    <row r="23" spans="1:12" x14ac:dyDescent="0.3">
      <c r="A23" s="19" t="s">
        <v>136</v>
      </c>
      <c r="B23" s="20" t="s">
        <v>77</v>
      </c>
      <c r="C23" s="20" t="s">
        <v>19</v>
      </c>
      <c r="D23" s="19" t="s">
        <v>73</v>
      </c>
      <c r="E23" s="21">
        <v>22</v>
      </c>
      <c r="F23" s="22">
        <v>45549</v>
      </c>
      <c r="G23" s="22">
        <v>45599</v>
      </c>
      <c r="H23" s="23">
        <v>50</v>
      </c>
      <c r="I23" s="24">
        <v>603</v>
      </c>
      <c r="J23" s="19" t="s">
        <v>24</v>
      </c>
      <c r="K23" s="23">
        <f>IF(tbl_tasks[[#This Row],[Status]]="Planned",tbl_tasks[[#This Row],[Duration]],NA())</f>
        <v>50</v>
      </c>
      <c r="L23" s="19"/>
    </row>
    <row r="24" spans="1:12" x14ac:dyDescent="0.3">
      <c r="A24" s="19" t="s">
        <v>137</v>
      </c>
      <c r="B24" s="20" t="s">
        <v>77</v>
      </c>
      <c r="C24" s="20" t="s">
        <v>19</v>
      </c>
      <c r="D24" s="19" t="s">
        <v>107</v>
      </c>
      <c r="E24" s="21">
        <v>23</v>
      </c>
      <c r="F24" s="22">
        <v>45599</v>
      </c>
      <c r="G24" s="22">
        <v>45649</v>
      </c>
      <c r="H24" s="23">
        <v>50</v>
      </c>
      <c r="I24" s="24">
        <v>653</v>
      </c>
      <c r="J24" s="19" t="s">
        <v>24</v>
      </c>
      <c r="K24" s="23">
        <f>IF(tbl_tasks[[#This Row],[Status]]="Planned",tbl_tasks[[#This Row],[Duration]],NA())</f>
        <v>50</v>
      </c>
      <c r="L24" s="19"/>
    </row>
    <row r="25" spans="1:12" x14ac:dyDescent="0.3">
      <c r="A25" s="19" t="s">
        <v>138</v>
      </c>
      <c r="B25" s="20" t="s">
        <v>77</v>
      </c>
      <c r="C25" s="20" t="s">
        <v>19</v>
      </c>
      <c r="D25" s="19" t="s">
        <v>108</v>
      </c>
      <c r="E25" s="21">
        <v>24</v>
      </c>
      <c r="F25" s="22">
        <v>45649</v>
      </c>
      <c r="G25" s="22">
        <v>45699</v>
      </c>
      <c r="H25" s="23">
        <v>50</v>
      </c>
      <c r="I25" s="24">
        <v>703</v>
      </c>
      <c r="J25" s="19" t="s">
        <v>24</v>
      </c>
      <c r="K25" s="23">
        <f>IF(tbl_tasks[[#This Row],[Status]]="Planned",tbl_tasks[[#This Row],[Duration]],NA())</f>
        <v>50</v>
      </c>
      <c r="L25" s="19"/>
    </row>
    <row r="26" spans="1:12" x14ac:dyDescent="0.3">
      <c r="A26" s="19" t="s">
        <v>139</v>
      </c>
      <c r="B26" s="20" t="s">
        <v>77</v>
      </c>
      <c r="C26" s="20" t="s">
        <v>19</v>
      </c>
      <c r="D26" s="19" t="s">
        <v>109</v>
      </c>
      <c r="E26" s="21">
        <v>25</v>
      </c>
      <c r="F26" s="22">
        <v>45699</v>
      </c>
      <c r="G26" s="22">
        <v>45750</v>
      </c>
      <c r="H26" s="23">
        <v>51</v>
      </c>
      <c r="I26" s="24">
        <v>753</v>
      </c>
      <c r="J26" s="19" t="s">
        <v>24</v>
      </c>
      <c r="K26" s="23">
        <f>IF(tbl_tasks[[#This Row],[Status]]="Planned",tbl_tasks[[#This Row],[Duration]],NA())</f>
        <v>51</v>
      </c>
      <c r="L26" s="19"/>
    </row>
    <row r="27" spans="1:12" x14ac:dyDescent="0.3">
      <c r="A27" s="19" t="s">
        <v>140</v>
      </c>
      <c r="B27" s="20" t="s">
        <v>77</v>
      </c>
      <c r="C27" s="20" t="s">
        <v>110</v>
      </c>
      <c r="D27" s="19" t="s">
        <v>111</v>
      </c>
      <c r="E27" s="21">
        <v>26</v>
      </c>
      <c r="F27" s="22">
        <v>45499</v>
      </c>
      <c r="G27" s="22">
        <v>45561</v>
      </c>
      <c r="H27" s="23">
        <v>62</v>
      </c>
      <c r="I27" s="24">
        <v>553</v>
      </c>
      <c r="J27" s="19" t="s">
        <v>24</v>
      </c>
      <c r="K27" s="23">
        <f>IF(tbl_tasks[[#This Row],[Status]]="Planned",tbl_tasks[[#This Row],[Duration]],NA())</f>
        <v>62</v>
      </c>
      <c r="L27" s="19"/>
    </row>
    <row r="28" spans="1:12" x14ac:dyDescent="0.3">
      <c r="A28" s="19" t="s">
        <v>141</v>
      </c>
      <c r="B28" s="20" t="s">
        <v>77</v>
      </c>
      <c r="C28" s="20" t="s">
        <v>110</v>
      </c>
      <c r="D28" s="19" t="s">
        <v>112</v>
      </c>
      <c r="E28" s="21">
        <v>27</v>
      </c>
      <c r="F28" s="22">
        <v>45561</v>
      </c>
      <c r="G28" s="22">
        <v>45623</v>
      </c>
      <c r="H28" s="23">
        <v>62</v>
      </c>
      <c r="I28" s="24">
        <v>615</v>
      </c>
      <c r="J28" s="19" t="s">
        <v>24</v>
      </c>
      <c r="K28" s="23">
        <f>IF(tbl_tasks[[#This Row],[Status]]="Planned",tbl_tasks[[#This Row],[Duration]],NA())</f>
        <v>62</v>
      </c>
      <c r="L28" s="19"/>
    </row>
    <row r="29" spans="1:12" x14ac:dyDescent="0.3">
      <c r="A29" s="19" t="s">
        <v>142</v>
      </c>
      <c r="B29" s="20" t="s">
        <v>77</v>
      </c>
      <c r="C29" s="20" t="s">
        <v>110</v>
      </c>
      <c r="D29" s="19" t="s">
        <v>113</v>
      </c>
      <c r="E29" s="21">
        <v>28</v>
      </c>
      <c r="F29" s="22">
        <v>45623</v>
      </c>
      <c r="G29" s="22">
        <v>45685</v>
      </c>
      <c r="H29" s="23">
        <v>62</v>
      </c>
      <c r="I29" s="24">
        <v>677</v>
      </c>
      <c r="J29" s="19" t="s">
        <v>24</v>
      </c>
      <c r="K29" s="23">
        <f>IF(tbl_tasks[[#This Row],[Status]]="Planned",tbl_tasks[[#This Row],[Duration]],NA())</f>
        <v>62</v>
      </c>
      <c r="L29" s="19"/>
    </row>
    <row r="30" spans="1:12" x14ac:dyDescent="0.3">
      <c r="A30" s="19" t="s">
        <v>143</v>
      </c>
      <c r="B30" s="20" t="s">
        <v>77</v>
      </c>
      <c r="C30" s="20" t="s">
        <v>110</v>
      </c>
      <c r="D30" s="19" t="s">
        <v>114</v>
      </c>
      <c r="E30" s="21">
        <v>29</v>
      </c>
      <c r="F30" s="22">
        <v>45685</v>
      </c>
      <c r="G30" s="22">
        <v>45750</v>
      </c>
      <c r="H30" s="23">
        <v>65</v>
      </c>
      <c r="I30" s="24">
        <v>739</v>
      </c>
      <c r="J30" s="19" t="s">
        <v>24</v>
      </c>
      <c r="K30" s="23">
        <f>IF(tbl_tasks[[#This Row],[Status]]="Planned",tbl_tasks[[#This Row],[Duration]],NA())</f>
        <v>65</v>
      </c>
      <c r="L30" s="19"/>
    </row>
    <row r="31" spans="1:12" x14ac:dyDescent="0.3">
      <c r="A31" s="19" t="s">
        <v>144</v>
      </c>
      <c r="B31" s="20" t="s">
        <v>77</v>
      </c>
      <c r="C31" s="20" t="s">
        <v>74</v>
      </c>
      <c r="D31" s="19" t="s">
        <v>102</v>
      </c>
      <c r="E31" s="21">
        <v>30</v>
      </c>
      <c r="F31" s="22">
        <v>45750</v>
      </c>
      <c r="G31" s="22">
        <v>45778</v>
      </c>
      <c r="H31" s="23">
        <v>28</v>
      </c>
      <c r="I31" s="24">
        <v>804</v>
      </c>
      <c r="J31" s="19" t="s">
        <v>24</v>
      </c>
      <c r="K31" s="23">
        <f>IF(tbl_tasks[[#This Row],[Status]]="Planned",tbl_tasks[[#This Row],[Duration]],NA())</f>
        <v>28</v>
      </c>
      <c r="L31" s="19"/>
    </row>
    <row r="32" spans="1:12" x14ac:dyDescent="0.3">
      <c r="A32" s="19" t="s">
        <v>145</v>
      </c>
      <c r="B32" s="20" t="s">
        <v>77</v>
      </c>
      <c r="C32" s="20" t="s">
        <v>74</v>
      </c>
      <c r="D32" s="19" t="s">
        <v>36</v>
      </c>
      <c r="E32" s="21">
        <v>31</v>
      </c>
      <c r="F32" s="22">
        <v>45778</v>
      </c>
      <c r="G32" s="22">
        <v>45806</v>
      </c>
      <c r="H32" s="23">
        <v>28</v>
      </c>
      <c r="I32" s="24">
        <v>832</v>
      </c>
      <c r="J32" s="19" t="s">
        <v>24</v>
      </c>
      <c r="K32" s="23">
        <f>IF(tbl_tasks[[#This Row],[Status]]="Planned",tbl_tasks[[#This Row],[Duration]],NA())</f>
        <v>28</v>
      </c>
      <c r="L32" s="19"/>
    </row>
    <row r="33" spans="1:12" x14ac:dyDescent="0.3">
      <c r="A33" s="19" t="s">
        <v>146</v>
      </c>
      <c r="B33" s="20" t="s">
        <v>77</v>
      </c>
      <c r="C33" s="20" t="s">
        <v>74</v>
      </c>
      <c r="D33" s="19" t="s">
        <v>61</v>
      </c>
      <c r="E33" s="21">
        <v>32</v>
      </c>
      <c r="F33" s="22">
        <v>45806</v>
      </c>
      <c r="G33" s="22">
        <v>45834</v>
      </c>
      <c r="H33" s="23">
        <v>28</v>
      </c>
      <c r="I33" s="24">
        <v>860</v>
      </c>
      <c r="J33" s="19" t="s">
        <v>24</v>
      </c>
      <c r="K33" s="23">
        <f>IF(tbl_tasks[[#This Row],[Status]]="Planned",tbl_tasks[[#This Row],[Duration]],NA())</f>
        <v>28</v>
      </c>
      <c r="L33" s="19"/>
    </row>
    <row r="34" spans="1:12" x14ac:dyDescent="0.3">
      <c r="A34" s="19" t="s">
        <v>147</v>
      </c>
      <c r="B34" s="20" t="s">
        <v>77</v>
      </c>
      <c r="C34" s="20" t="s">
        <v>74</v>
      </c>
      <c r="D34" s="19" t="s">
        <v>71</v>
      </c>
      <c r="E34" s="21">
        <v>33</v>
      </c>
      <c r="F34" s="22">
        <v>45834</v>
      </c>
      <c r="G34" s="22">
        <v>45862</v>
      </c>
      <c r="H34" s="23">
        <v>28</v>
      </c>
      <c r="I34" s="24">
        <v>888</v>
      </c>
      <c r="J34" s="19" t="s">
        <v>24</v>
      </c>
      <c r="K34" s="23">
        <f>IF(tbl_tasks[[#This Row],[Status]]="Planned",tbl_tasks[[#This Row],[Duration]],NA())</f>
        <v>28</v>
      </c>
      <c r="L34" s="19"/>
    </row>
    <row r="35" spans="1:12" x14ac:dyDescent="0.3">
      <c r="A35" s="19" t="s">
        <v>148</v>
      </c>
      <c r="B35" s="20" t="s">
        <v>77</v>
      </c>
      <c r="C35" s="20" t="s">
        <v>74</v>
      </c>
      <c r="D35" s="19" t="s">
        <v>72</v>
      </c>
      <c r="E35" s="21">
        <v>34</v>
      </c>
      <c r="F35" s="22">
        <v>45862</v>
      </c>
      <c r="G35" s="22">
        <v>45890</v>
      </c>
      <c r="H35" s="23">
        <v>28</v>
      </c>
      <c r="I35" s="24">
        <v>916</v>
      </c>
      <c r="J35" s="19" t="s">
        <v>24</v>
      </c>
      <c r="K35" s="23">
        <f>IF(tbl_tasks[[#This Row],[Status]]="Planned",tbl_tasks[[#This Row],[Duration]],NA())</f>
        <v>28</v>
      </c>
      <c r="L35" s="19"/>
    </row>
    <row r="36" spans="1:12" x14ac:dyDescent="0.3">
      <c r="A36" s="19" t="s">
        <v>149</v>
      </c>
      <c r="B36" s="20" t="s">
        <v>77</v>
      </c>
      <c r="C36" s="20" t="s">
        <v>74</v>
      </c>
      <c r="D36" s="19" t="s">
        <v>106</v>
      </c>
      <c r="E36" s="21">
        <v>35</v>
      </c>
      <c r="F36" s="22">
        <v>45890</v>
      </c>
      <c r="G36" s="22">
        <v>45918</v>
      </c>
      <c r="H36" s="23">
        <v>28</v>
      </c>
      <c r="I36" s="24">
        <v>944</v>
      </c>
      <c r="J36" s="19" t="s">
        <v>24</v>
      </c>
      <c r="K36" s="23">
        <f>IF(tbl_tasks[[#This Row],[Status]]="Planned",tbl_tasks[[#This Row],[Duration]],NA())</f>
        <v>28</v>
      </c>
      <c r="L36" s="19"/>
    </row>
    <row r="37" spans="1:12" x14ac:dyDescent="0.3">
      <c r="A37" s="19" t="s">
        <v>150</v>
      </c>
      <c r="B37" s="20" t="s">
        <v>77</v>
      </c>
      <c r="C37" s="20" t="s">
        <v>74</v>
      </c>
      <c r="D37" s="19" t="s">
        <v>64</v>
      </c>
      <c r="E37" s="21">
        <v>36</v>
      </c>
      <c r="F37" s="22">
        <v>45918</v>
      </c>
      <c r="G37" s="22">
        <v>45952</v>
      </c>
      <c r="H37" s="23">
        <v>34</v>
      </c>
      <c r="I37" s="24">
        <v>972</v>
      </c>
      <c r="J37" s="19" t="s">
        <v>24</v>
      </c>
      <c r="K37" s="23">
        <f>IF(tbl_tasks[[#This Row],[Status]]="Planned",tbl_tasks[[#This Row],[Duration]],NA())</f>
        <v>34</v>
      </c>
      <c r="L37" s="19"/>
    </row>
    <row r="38" spans="1:12" x14ac:dyDescent="0.3">
      <c r="A38" s="19" t="s">
        <v>151</v>
      </c>
      <c r="B38" s="20" t="s">
        <v>78</v>
      </c>
      <c r="C38" s="20" t="s">
        <v>74</v>
      </c>
      <c r="D38" s="19" t="s">
        <v>56</v>
      </c>
      <c r="E38" s="21">
        <v>1</v>
      </c>
      <c r="F38" s="22">
        <v>45511</v>
      </c>
      <c r="G38" s="22">
        <v>45538</v>
      </c>
      <c r="H38" s="23">
        <v>27</v>
      </c>
      <c r="I38" s="24">
        <v>0</v>
      </c>
      <c r="J38" s="19" t="s">
        <v>24</v>
      </c>
      <c r="K38" s="23">
        <f>IF(tbl_tasks[[#This Row],[Status]]="Planned",tbl_tasks[[#This Row],[Duration]],NA())</f>
        <v>27</v>
      </c>
      <c r="L38" s="19"/>
    </row>
    <row r="39" spans="1:12" x14ac:dyDescent="0.3">
      <c r="A39" s="19" t="s">
        <v>152</v>
      </c>
      <c r="B39" s="20" t="s">
        <v>78</v>
      </c>
      <c r="C39" s="20" t="s">
        <v>74</v>
      </c>
      <c r="D39" s="19" t="s">
        <v>62</v>
      </c>
      <c r="E39" s="21">
        <v>2</v>
      </c>
      <c r="F39" s="22">
        <v>45538</v>
      </c>
      <c r="G39" s="22">
        <v>45565</v>
      </c>
      <c r="H39" s="23">
        <v>27</v>
      </c>
      <c r="I39" s="24">
        <v>27</v>
      </c>
      <c r="J39" s="19" t="s">
        <v>24</v>
      </c>
      <c r="K39" s="23">
        <f>IF(tbl_tasks[[#This Row],[Status]]="Planned",tbl_tasks[[#This Row],[Duration]],NA())</f>
        <v>27</v>
      </c>
      <c r="L39" s="19"/>
    </row>
    <row r="40" spans="1:12" x14ac:dyDescent="0.3">
      <c r="A40" s="19" t="s">
        <v>153</v>
      </c>
      <c r="B40" s="20" t="s">
        <v>78</v>
      </c>
      <c r="C40" s="20" t="s">
        <v>74</v>
      </c>
      <c r="D40" s="19" t="s">
        <v>63</v>
      </c>
      <c r="E40" s="21">
        <v>3</v>
      </c>
      <c r="F40" s="22">
        <v>45565</v>
      </c>
      <c r="G40" s="22">
        <v>45592</v>
      </c>
      <c r="H40" s="23">
        <v>27</v>
      </c>
      <c r="I40" s="24">
        <v>54</v>
      </c>
      <c r="J40" s="19" t="s">
        <v>24</v>
      </c>
      <c r="K40" s="23">
        <f>IF(tbl_tasks[[#This Row],[Status]]="Planned",tbl_tasks[[#This Row],[Duration]],NA())</f>
        <v>27</v>
      </c>
      <c r="L40" s="19"/>
    </row>
    <row r="41" spans="1:12" x14ac:dyDescent="0.3">
      <c r="A41" s="19" t="s">
        <v>154</v>
      </c>
      <c r="B41" s="20" t="s">
        <v>78</v>
      </c>
      <c r="C41" s="20" t="s">
        <v>74</v>
      </c>
      <c r="D41" s="19" t="s">
        <v>438</v>
      </c>
      <c r="E41" s="21">
        <v>4</v>
      </c>
      <c r="F41" s="22">
        <v>45592</v>
      </c>
      <c r="G41" s="22">
        <v>45619</v>
      </c>
      <c r="H41" s="23">
        <v>27</v>
      </c>
      <c r="I41" s="24">
        <v>81</v>
      </c>
      <c r="J41" s="19" t="s">
        <v>24</v>
      </c>
      <c r="K41" s="23">
        <f>IF(tbl_tasks[[#This Row],[Status]]="Planned",tbl_tasks[[#This Row],[Duration]],NA())</f>
        <v>27</v>
      </c>
      <c r="L41" s="19"/>
    </row>
    <row r="42" spans="1:12" x14ac:dyDescent="0.3">
      <c r="A42" s="19" t="s">
        <v>155</v>
      </c>
      <c r="B42" s="20" t="s">
        <v>78</v>
      </c>
      <c r="C42" s="20" t="s">
        <v>74</v>
      </c>
      <c r="D42" s="19" t="s">
        <v>33</v>
      </c>
      <c r="E42" s="21">
        <v>5</v>
      </c>
      <c r="F42" s="22">
        <v>45619</v>
      </c>
      <c r="G42" s="22">
        <v>45646</v>
      </c>
      <c r="H42" s="23">
        <v>27</v>
      </c>
      <c r="I42" s="24">
        <v>108</v>
      </c>
      <c r="J42" s="19" t="s">
        <v>24</v>
      </c>
      <c r="K42" s="23">
        <f>IF(tbl_tasks[[#This Row],[Status]]="Planned",tbl_tasks[[#This Row],[Duration]],NA())</f>
        <v>27</v>
      </c>
      <c r="L42" s="19"/>
    </row>
    <row r="43" spans="1:12" x14ac:dyDescent="0.3">
      <c r="A43" s="19" t="s">
        <v>156</v>
      </c>
      <c r="B43" s="20" t="s">
        <v>78</v>
      </c>
      <c r="C43" s="20" t="s">
        <v>74</v>
      </c>
      <c r="D43" s="19" t="s">
        <v>34</v>
      </c>
      <c r="E43" s="21">
        <v>6</v>
      </c>
      <c r="F43" s="22">
        <v>45646</v>
      </c>
      <c r="G43" s="22">
        <v>45673</v>
      </c>
      <c r="H43" s="23">
        <v>27</v>
      </c>
      <c r="I43" s="24">
        <v>135</v>
      </c>
      <c r="J43" s="19" t="s">
        <v>24</v>
      </c>
      <c r="K43" s="23">
        <f>IF(tbl_tasks[[#This Row],[Status]]="Planned",tbl_tasks[[#This Row],[Duration]],NA())</f>
        <v>27</v>
      </c>
      <c r="L43" s="19"/>
    </row>
    <row r="44" spans="1:12" x14ac:dyDescent="0.3">
      <c r="A44" s="19" t="s">
        <v>157</v>
      </c>
      <c r="B44" s="20" t="s">
        <v>78</v>
      </c>
      <c r="C44" s="20" t="s">
        <v>74</v>
      </c>
      <c r="D44" s="19" t="s">
        <v>68</v>
      </c>
      <c r="E44" s="21">
        <v>7</v>
      </c>
      <c r="F44" s="22">
        <v>45673</v>
      </c>
      <c r="G44" s="22">
        <v>45700</v>
      </c>
      <c r="H44" s="23">
        <v>27</v>
      </c>
      <c r="I44" s="24">
        <v>162</v>
      </c>
      <c r="J44" s="19" t="s">
        <v>24</v>
      </c>
      <c r="K44" s="23">
        <f>IF(tbl_tasks[[#This Row],[Status]]="Planned",tbl_tasks[[#This Row],[Duration]],NA())</f>
        <v>27</v>
      </c>
      <c r="L44" s="19"/>
    </row>
    <row r="45" spans="1:12" x14ac:dyDescent="0.3">
      <c r="A45" s="19" t="s">
        <v>158</v>
      </c>
      <c r="B45" s="20" t="s">
        <v>78</v>
      </c>
      <c r="C45" s="20" t="s">
        <v>74</v>
      </c>
      <c r="D45" s="19" t="s">
        <v>66</v>
      </c>
      <c r="E45" s="21">
        <v>8</v>
      </c>
      <c r="F45" s="22">
        <v>45700</v>
      </c>
      <c r="G45" s="22">
        <v>45727</v>
      </c>
      <c r="H45" s="23">
        <v>27</v>
      </c>
      <c r="I45" s="24">
        <v>189</v>
      </c>
      <c r="J45" s="19" t="s">
        <v>24</v>
      </c>
      <c r="K45" s="23">
        <f>IF(tbl_tasks[[#This Row],[Status]]="Planned",tbl_tasks[[#This Row],[Duration]],NA())</f>
        <v>27</v>
      </c>
      <c r="L45" s="19"/>
    </row>
    <row r="46" spans="1:12" x14ac:dyDescent="0.3">
      <c r="A46" s="19" t="s">
        <v>159</v>
      </c>
      <c r="B46" s="20" t="s">
        <v>78</v>
      </c>
      <c r="C46" s="20" t="s">
        <v>74</v>
      </c>
      <c r="D46" s="19" t="s">
        <v>67</v>
      </c>
      <c r="E46" s="21">
        <v>9</v>
      </c>
      <c r="F46" s="22">
        <v>45727</v>
      </c>
      <c r="G46" s="22">
        <v>45754</v>
      </c>
      <c r="H46" s="23">
        <v>27</v>
      </c>
      <c r="I46" s="24">
        <v>216</v>
      </c>
      <c r="J46" s="19" t="s">
        <v>24</v>
      </c>
      <c r="K46" s="23">
        <f>IF(tbl_tasks[[#This Row],[Status]]="Planned",tbl_tasks[[#This Row],[Duration]],NA())</f>
        <v>27</v>
      </c>
      <c r="L46" s="19"/>
    </row>
    <row r="47" spans="1:12" x14ac:dyDescent="0.3">
      <c r="A47" s="19" t="s">
        <v>160</v>
      </c>
      <c r="B47" s="20" t="s">
        <v>78</v>
      </c>
      <c r="C47" s="20" t="s">
        <v>74</v>
      </c>
      <c r="D47" s="19" t="s">
        <v>35</v>
      </c>
      <c r="E47" s="21">
        <v>10</v>
      </c>
      <c r="F47" s="22">
        <v>45754</v>
      </c>
      <c r="G47" s="22">
        <v>45787</v>
      </c>
      <c r="H47" s="23">
        <v>33</v>
      </c>
      <c r="I47" s="24">
        <v>243</v>
      </c>
      <c r="J47" s="19" t="s">
        <v>24</v>
      </c>
      <c r="K47" s="23">
        <f>IF(tbl_tasks[[#This Row],[Status]]="Planned",tbl_tasks[[#This Row],[Duration]],NA())</f>
        <v>33</v>
      </c>
      <c r="L47" s="19"/>
    </row>
    <row r="48" spans="1:12" x14ac:dyDescent="0.3">
      <c r="A48" s="19" t="s">
        <v>161</v>
      </c>
      <c r="B48" s="20" t="s">
        <v>78</v>
      </c>
      <c r="C48" s="20" t="s">
        <v>17</v>
      </c>
      <c r="D48" s="19" t="s">
        <v>57</v>
      </c>
      <c r="E48" s="21">
        <v>11</v>
      </c>
      <c r="F48" s="22">
        <v>45787</v>
      </c>
      <c r="G48" s="22">
        <v>45812</v>
      </c>
      <c r="H48" s="23">
        <v>25</v>
      </c>
      <c r="I48" s="24">
        <v>276</v>
      </c>
      <c r="J48" s="19" t="s">
        <v>24</v>
      </c>
      <c r="K48" s="23">
        <f>IF(tbl_tasks[[#This Row],[Status]]="Planned",tbl_tasks[[#This Row],[Duration]],NA())</f>
        <v>25</v>
      </c>
      <c r="L48" s="19"/>
    </row>
    <row r="49" spans="1:12" x14ac:dyDescent="0.3">
      <c r="A49" s="19" t="s">
        <v>162</v>
      </c>
      <c r="B49" s="20" t="s">
        <v>78</v>
      </c>
      <c r="C49" s="20" t="s">
        <v>17</v>
      </c>
      <c r="D49" s="19" t="s">
        <v>65</v>
      </c>
      <c r="E49" s="21">
        <v>12</v>
      </c>
      <c r="F49" s="22">
        <v>45812</v>
      </c>
      <c r="G49" s="22">
        <v>45837</v>
      </c>
      <c r="H49" s="23">
        <v>25</v>
      </c>
      <c r="I49" s="24">
        <v>301</v>
      </c>
      <c r="J49" s="19" t="s">
        <v>24</v>
      </c>
      <c r="K49" s="23">
        <f>IF(tbl_tasks[[#This Row],[Status]]="Planned",tbl_tasks[[#This Row],[Duration]],NA())</f>
        <v>25</v>
      </c>
      <c r="L49" s="19"/>
    </row>
    <row r="50" spans="1:12" x14ac:dyDescent="0.3">
      <c r="A50" s="19" t="s">
        <v>163</v>
      </c>
      <c r="B50" s="20" t="s">
        <v>78</v>
      </c>
      <c r="C50" s="20" t="s">
        <v>17</v>
      </c>
      <c r="D50" s="19" t="s">
        <v>58</v>
      </c>
      <c r="E50" s="21">
        <v>13</v>
      </c>
      <c r="F50" s="22">
        <v>45837</v>
      </c>
      <c r="G50" s="22">
        <v>45862</v>
      </c>
      <c r="H50" s="23">
        <v>25</v>
      </c>
      <c r="I50" s="24">
        <v>326</v>
      </c>
      <c r="J50" s="19" t="s">
        <v>24</v>
      </c>
      <c r="K50" s="23">
        <f>IF(tbl_tasks[[#This Row],[Status]]="Planned",tbl_tasks[[#This Row],[Duration]],NA())</f>
        <v>25</v>
      </c>
      <c r="L50" s="19"/>
    </row>
    <row r="51" spans="1:12" x14ac:dyDescent="0.3">
      <c r="A51" s="19" t="s">
        <v>164</v>
      </c>
      <c r="B51" s="20" t="s">
        <v>78</v>
      </c>
      <c r="C51" s="20" t="s">
        <v>17</v>
      </c>
      <c r="D51" s="19" t="s">
        <v>103</v>
      </c>
      <c r="E51" s="21">
        <v>14</v>
      </c>
      <c r="F51" s="22">
        <v>45862</v>
      </c>
      <c r="G51" s="22">
        <v>45887</v>
      </c>
      <c r="H51" s="23">
        <v>25</v>
      </c>
      <c r="I51" s="24">
        <v>351</v>
      </c>
      <c r="J51" s="19" t="s">
        <v>24</v>
      </c>
      <c r="K51" s="23">
        <f>IF(tbl_tasks[[#This Row],[Status]]="Planned",tbl_tasks[[#This Row],[Duration]],NA())</f>
        <v>25</v>
      </c>
      <c r="L51" s="19"/>
    </row>
    <row r="52" spans="1:12" x14ac:dyDescent="0.3">
      <c r="A52" s="19" t="s">
        <v>165</v>
      </c>
      <c r="B52" s="20" t="s">
        <v>78</v>
      </c>
      <c r="C52" s="20" t="s">
        <v>17</v>
      </c>
      <c r="D52" s="19" t="s">
        <v>104</v>
      </c>
      <c r="E52" s="21">
        <v>15</v>
      </c>
      <c r="F52" s="22">
        <v>45887</v>
      </c>
      <c r="G52" s="22">
        <v>45912</v>
      </c>
      <c r="H52" s="23">
        <v>25</v>
      </c>
      <c r="I52" s="24">
        <v>376</v>
      </c>
      <c r="J52" s="19" t="s">
        <v>24</v>
      </c>
      <c r="K52" s="23">
        <f>IF(tbl_tasks[[#This Row],[Status]]="Planned",tbl_tasks[[#This Row],[Duration]],NA())</f>
        <v>25</v>
      </c>
      <c r="L52" s="19"/>
    </row>
    <row r="53" spans="1:12" x14ac:dyDescent="0.3">
      <c r="A53" s="19" t="s">
        <v>166</v>
      </c>
      <c r="B53" s="20" t="s">
        <v>78</v>
      </c>
      <c r="C53" s="20" t="s">
        <v>18</v>
      </c>
      <c r="D53" s="19" t="s">
        <v>57</v>
      </c>
      <c r="E53" s="21">
        <v>16</v>
      </c>
      <c r="F53" s="22">
        <v>45787</v>
      </c>
      <c r="G53" s="22">
        <v>45812</v>
      </c>
      <c r="H53" s="23">
        <v>25</v>
      </c>
      <c r="I53" s="24">
        <v>276</v>
      </c>
      <c r="J53" s="19" t="s">
        <v>24</v>
      </c>
      <c r="K53" s="23">
        <f>IF(tbl_tasks[[#This Row],[Status]]="Planned",tbl_tasks[[#This Row],[Duration]],NA())</f>
        <v>25</v>
      </c>
      <c r="L53" s="19"/>
    </row>
    <row r="54" spans="1:12" x14ac:dyDescent="0.3">
      <c r="A54" s="19" t="s">
        <v>167</v>
      </c>
      <c r="B54" s="20" t="s">
        <v>78</v>
      </c>
      <c r="C54" s="20" t="s">
        <v>18</v>
      </c>
      <c r="D54" s="19" t="s">
        <v>69</v>
      </c>
      <c r="E54" s="21">
        <v>17</v>
      </c>
      <c r="F54" s="22">
        <v>45812</v>
      </c>
      <c r="G54" s="22">
        <v>45837</v>
      </c>
      <c r="H54" s="23">
        <v>25</v>
      </c>
      <c r="I54" s="24">
        <v>301</v>
      </c>
      <c r="J54" s="19" t="s">
        <v>24</v>
      </c>
      <c r="K54" s="23">
        <f>IF(tbl_tasks[[#This Row],[Status]]="Planned",tbl_tasks[[#This Row],[Duration]],NA())</f>
        <v>25</v>
      </c>
      <c r="L54" s="19"/>
    </row>
    <row r="55" spans="1:12" x14ac:dyDescent="0.3">
      <c r="A55" s="19" t="s">
        <v>168</v>
      </c>
      <c r="B55" s="20" t="s">
        <v>78</v>
      </c>
      <c r="C55" s="20" t="s">
        <v>18</v>
      </c>
      <c r="D55" s="19" t="s">
        <v>70</v>
      </c>
      <c r="E55" s="21">
        <v>18</v>
      </c>
      <c r="F55" s="22">
        <v>45837</v>
      </c>
      <c r="G55" s="22">
        <v>45862</v>
      </c>
      <c r="H55" s="23">
        <v>25</v>
      </c>
      <c r="I55" s="24">
        <v>326</v>
      </c>
      <c r="J55" s="19" t="s">
        <v>24</v>
      </c>
      <c r="K55" s="23">
        <f>IF(tbl_tasks[[#This Row],[Status]]="Planned",tbl_tasks[[#This Row],[Duration]],NA())</f>
        <v>25</v>
      </c>
      <c r="L55" s="19"/>
    </row>
    <row r="56" spans="1:12" x14ac:dyDescent="0.3">
      <c r="A56" s="19" t="s">
        <v>169</v>
      </c>
      <c r="B56" s="20" t="s">
        <v>78</v>
      </c>
      <c r="C56" s="20" t="s">
        <v>18</v>
      </c>
      <c r="D56" s="19" t="s">
        <v>59</v>
      </c>
      <c r="E56" s="21">
        <v>19</v>
      </c>
      <c r="F56" s="22">
        <v>45862</v>
      </c>
      <c r="G56" s="22">
        <v>45887</v>
      </c>
      <c r="H56" s="23">
        <v>25</v>
      </c>
      <c r="I56" s="24">
        <v>351</v>
      </c>
      <c r="J56" s="19" t="s">
        <v>24</v>
      </c>
      <c r="K56" s="23">
        <f>IF(tbl_tasks[[#This Row],[Status]]="Planned",tbl_tasks[[#This Row],[Duration]],NA())</f>
        <v>25</v>
      </c>
      <c r="L56" s="19"/>
    </row>
    <row r="57" spans="1:12" x14ac:dyDescent="0.3">
      <c r="A57" s="19" t="s">
        <v>170</v>
      </c>
      <c r="B57" s="20" t="s">
        <v>78</v>
      </c>
      <c r="C57" s="20" t="s">
        <v>18</v>
      </c>
      <c r="D57" s="19" t="s">
        <v>105</v>
      </c>
      <c r="E57" s="21">
        <v>20</v>
      </c>
      <c r="F57" s="22">
        <v>45887</v>
      </c>
      <c r="G57" s="22">
        <v>45912</v>
      </c>
      <c r="H57" s="23">
        <v>25</v>
      </c>
      <c r="I57" s="24">
        <v>376</v>
      </c>
      <c r="J57" s="19" t="s">
        <v>24</v>
      </c>
      <c r="K57" s="23">
        <f>IF(tbl_tasks[[#This Row],[Status]]="Planned",tbl_tasks[[#This Row],[Duration]],NA())</f>
        <v>25</v>
      </c>
      <c r="L57" s="19"/>
    </row>
    <row r="58" spans="1:12" x14ac:dyDescent="0.3">
      <c r="A58" s="19" t="s">
        <v>171</v>
      </c>
      <c r="B58" s="20" t="s">
        <v>78</v>
      </c>
      <c r="C58" s="20" t="s">
        <v>19</v>
      </c>
      <c r="D58" s="19" t="s">
        <v>60</v>
      </c>
      <c r="E58" s="21">
        <v>21</v>
      </c>
      <c r="F58" s="22">
        <v>45787</v>
      </c>
      <c r="G58" s="22">
        <v>45812</v>
      </c>
      <c r="H58" s="23">
        <v>25</v>
      </c>
      <c r="I58" s="24">
        <v>276</v>
      </c>
      <c r="J58" s="19" t="s">
        <v>24</v>
      </c>
      <c r="K58" s="23">
        <f>IF(tbl_tasks[[#This Row],[Status]]="Planned",tbl_tasks[[#This Row],[Duration]],NA())</f>
        <v>25</v>
      </c>
      <c r="L58" s="19"/>
    </row>
    <row r="59" spans="1:12" x14ac:dyDescent="0.3">
      <c r="A59" s="19" t="s">
        <v>172</v>
      </c>
      <c r="B59" s="20" t="s">
        <v>78</v>
      </c>
      <c r="C59" s="20" t="s">
        <v>19</v>
      </c>
      <c r="D59" s="19" t="s">
        <v>73</v>
      </c>
      <c r="E59" s="21">
        <v>22</v>
      </c>
      <c r="F59" s="22">
        <v>45812</v>
      </c>
      <c r="G59" s="22">
        <v>45837</v>
      </c>
      <c r="H59" s="23">
        <v>25</v>
      </c>
      <c r="I59" s="24">
        <v>301</v>
      </c>
      <c r="J59" s="19" t="s">
        <v>24</v>
      </c>
      <c r="K59" s="23">
        <f>IF(tbl_tasks[[#This Row],[Status]]="Planned",tbl_tasks[[#This Row],[Duration]],NA())</f>
        <v>25</v>
      </c>
      <c r="L59" s="19"/>
    </row>
    <row r="60" spans="1:12" x14ac:dyDescent="0.3">
      <c r="A60" s="19" t="s">
        <v>173</v>
      </c>
      <c r="B60" s="20" t="s">
        <v>78</v>
      </c>
      <c r="C60" s="20" t="s">
        <v>19</v>
      </c>
      <c r="D60" s="19" t="s">
        <v>107</v>
      </c>
      <c r="E60" s="21">
        <v>23</v>
      </c>
      <c r="F60" s="22">
        <v>45837</v>
      </c>
      <c r="G60" s="22">
        <v>45862</v>
      </c>
      <c r="H60" s="23">
        <v>25</v>
      </c>
      <c r="I60" s="24">
        <v>326</v>
      </c>
      <c r="J60" s="19" t="s">
        <v>24</v>
      </c>
      <c r="K60" s="23">
        <f>IF(tbl_tasks[[#This Row],[Status]]="Planned",tbl_tasks[[#This Row],[Duration]],NA())</f>
        <v>25</v>
      </c>
      <c r="L60" s="19"/>
    </row>
    <row r="61" spans="1:12" x14ac:dyDescent="0.3">
      <c r="A61" s="19" t="s">
        <v>174</v>
      </c>
      <c r="B61" s="20" t="s">
        <v>78</v>
      </c>
      <c r="C61" s="20" t="s">
        <v>19</v>
      </c>
      <c r="D61" s="19" t="s">
        <v>108</v>
      </c>
      <c r="E61" s="21">
        <v>24</v>
      </c>
      <c r="F61" s="22">
        <v>45862</v>
      </c>
      <c r="G61" s="22">
        <v>45887</v>
      </c>
      <c r="H61" s="23">
        <v>25</v>
      </c>
      <c r="I61" s="24">
        <v>351</v>
      </c>
      <c r="J61" s="19" t="s">
        <v>24</v>
      </c>
      <c r="K61" s="23">
        <f>IF(tbl_tasks[[#This Row],[Status]]="Planned",tbl_tasks[[#This Row],[Duration]],NA())</f>
        <v>25</v>
      </c>
      <c r="L61" s="19"/>
    </row>
    <row r="62" spans="1:12" x14ac:dyDescent="0.3">
      <c r="A62" s="19" t="s">
        <v>175</v>
      </c>
      <c r="B62" s="20" t="s">
        <v>78</v>
      </c>
      <c r="C62" s="20" t="s">
        <v>19</v>
      </c>
      <c r="D62" s="19" t="s">
        <v>109</v>
      </c>
      <c r="E62" s="21">
        <v>25</v>
      </c>
      <c r="F62" s="22">
        <v>45887</v>
      </c>
      <c r="G62" s="22">
        <v>45912</v>
      </c>
      <c r="H62" s="23">
        <v>25</v>
      </c>
      <c r="I62" s="24">
        <v>376</v>
      </c>
      <c r="J62" s="19" t="s">
        <v>24</v>
      </c>
      <c r="K62" s="23">
        <f>IF(tbl_tasks[[#This Row],[Status]]="Planned",tbl_tasks[[#This Row],[Duration]],NA())</f>
        <v>25</v>
      </c>
      <c r="L62" s="19"/>
    </row>
    <row r="63" spans="1:12" x14ac:dyDescent="0.3">
      <c r="A63" s="19" t="s">
        <v>176</v>
      </c>
      <c r="B63" s="20" t="s">
        <v>78</v>
      </c>
      <c r="C63" s="20" t="s">
        <v>74</v>
      </c>
      <c r="D63" s="19" t="s">
        <v>102</v>
      </c>
      <c r="E63" s="21">
        <v>26</v>
      </c>
      <c r="F63" s="22">
        <v>45912</v>
      </c>
      <c r="G63" s="22">
        <v>45926</v>
      </c>
      <c r="H63" s="23">
        <v>14</v>
      </c>
      <c r="I63" s="24">
        <v>401</v>
      </c>
      <c r="J63" s="19" t="s">
        <v>24</v>
      </c>
      <c r="K63" s="23">
        <f>IF(tbl_tasks[[#This Row],[Status]]="Planned",tbl_tasks[[#This Row],[Duration]],NA())</f>
        <v>14</v>
      </c>
      <c r="L63" s="19"/>
    </row>
    <row r="64" spans="1:12" x14ac:dyDescent="0.3">
      <c r="A64" s="19" t="s">
        <v>177</v>
      </c>
      <c r="B64" s="20" t="s">
        <v>78</v>
      </c>
      <c r="C64" s="20" t="s">
        <v>74</v>
      </c>
      <c r="D64" s="19" t="s">
        <v>36</v>
      </c>
      <c r="E64" s="21">
        <v>27</v>
      </c>
      <c r="F64" s="22">
        <v>45926</v>
      </c>
      <c r="G64" s="22">
        <v>45940</v>
      </c>
      <c r="H64" s="23">
        <v>14</v>
      </c>
      <c r="I64" s="24">
        <v>415</v>
      </c>
      <c r="J64" s="19" t="s">
        <v>24</v>
      </c>
      <c r="K64" s="23">
        <f>IF(tbl_tasks[[#This Row],[Status]]="Planned",tbl_tasks[[#This Row],[Duration]],NA())</f>
        <v>14</v>
      </c>
      <c r="L64" s="19"/>
    </row>
    <row r="65" spans="1:12" x14ac:dyDescent="0.3">
      <c r="A65" s="19" t="s">
        <v>178</v>
      </c>
      <c r="B65" s="20" t="s">
        <v>78</v>
      </c>
      <c r="C65" s="20" t="s">
        <v>74</v>
      </c>
      <c r="D65" s="19" t="s">
        <v>61</v>
      </c>
      <c r="E65" s="21">
        <v>28</v>
      </c>
      <c r="F65" s="22">
        <v>45940</v>
      </c>
      <c r="G65" s="22">
        <v>45954</v>
      </c>
      <c r="H65" s="23">
        <v>14</v>
      </c>
      <c r="I65" s="24">
        <v>429</v>
      </c>
      <c r="J65" s="19" t="s">
        <v>24</v>
      </c>
      <c r="K65" s="23">
        <f>IF(tbl_tasks[[#This Row],[Status]]="Planned",tbl_tasks[[#This Row],[Duration]],NA())</f>
        <v>14</v>
      </c>
      <c r="L65" s="19"/>
    </row>
    <row r="66" spans="1:12" x14ac:dyDescent="0.3">
      <c r="A66" s="19" t="s">
        <v>179</v>
      </c>
      <c r="B66" s="20" t="s">
        <v>78</v>
      </c>
      <c r="C66" s="20" t="s">
        <v>74</v>
      </c>
      <c r="D66" s="19" t="s">
        <v>71</v>
      </c>
      <c r="E66" s="21">
        <v>29</v>
      </c>
      <c r="F66" s="22">
        <v>45954</v>
      </c>
      <c r="G66" s="22">
        <v>45968</v>
      </c>
      <c r="H66" s="23">
        <v>14</v>
      </c>
      <c r="I66" s="24">
        <v>443</v>
      </c>
      <c r="J66" s="19" t="s">
        <v>24</v>
      </c>
      <c r="K66" s="23">
        <f>IF(tbl_tasks[[#This Row],[Status]]="Planned",tbl_tasks[[#This Row],[Duration]],NA())</f>
        <v>14</v>
      </c>
      <c r="L66" s="19"/>
    </row>
    <row r="67" spans="1:12" x14ac:dyDescent="0.3">
      <c r="A67" s="19" t="s">
        <v>180</v>
      </c>
      <c r="B67" s="20" t="s">
        <v>78</v>
      </c>
      <c r="C67" s="20" t="s">
        <v>74</v>
      </c>
      <c r="D67" s="19" t="s">
        <v>72</v>
      </c>
      <c r="E67" s="21">
        <v>30</v>
      </c>
      <c r="F67" s="22">
        <v>45968</v>
      </c>
      <c r="G67" s="22">
        <v>45982</v>
      </c>
      <c r="H67" s="23">
        <v>14</v>
      </c>
      <c r="I67" s="24">
        <v>457</v>
      </c>
      <c r="J67" s="19" t="s">
        <v>24</v>
      </c>
      <c r="K67" s="23">
        <f>IF(tbl_tasks[[#This Row],[Status]]="Planned",tbl_tasks[[#This Row],[Duration]],NA())</f>
        <v>14</v>
      </c>
      <c r="L67" s="19"/>
    </row>
    <row r="68" spans="1:12" x14ac:dyDescent="0.3">
      <c r="A68" s="19" t="s">
        <v>181</v>
      </c>
      <c r="B68" s="20" t="s">
        <v>78</v>
      </c>
      <c r="C68" s="20" t="s">
        <v>74</v>
      </c>
      <c r="D68" s="19" t="s">
        <v>106</v>
      </c>
      <c r="E68" s="21">
        <v>31</v>
      </c>
      <c r="F68" s="22">
        <v>45982</v>
      </c>
      <c r="G68" s="22">
        <v>45996</v>
      </c>
      <c r="H68" s="23">
        <v>14</v>
      </c>
      <c r="I68" s="24">
        <v>471</v>
      </c>
      <c r="J68" s="19" t="s">
        <v>24</v>
      </c>
      <c r="K68" s="23">
        <f>IF(tbl_tasks[[#This Row],[Status]]="Planned",tbl_tasks[[#This Row],[Duration]],NA())</f>
        <v>14</v>
      </c>
      <c r="L68" s="19"/>
    </row>
    <row r="69" spans="1:12" x14ac:dyDescent="0.3">
      <c r="A69" s="19" t="s">
        <v>182</v>
      </c>
      <c r="B69" s="20" t="s">
        <v>78</v>
      </c>
      <c r="C69" s="20" t="s">
        <v>74</v>
      </c>
      <c r="D69" s="19" t="s">
        <v>64</v>
      </c>
      <c r="E69" s="21">
        <v>32</v>
      </c>
      <c r="F69" s="22">
        <v>45996</v>
      </c>
      <c r="G69" s="22">
        <v>46013</v>
      </c>
      <c r="H69" s="23">
        <v>17</v>
      </c>
      <c r="I69" s="24">
        <v>485</v>
      </c>
      <c r="J69" s="19" t="s">
        <v>24</v>
      </c>
      <c r="K69" s="23">
        <f>IF(tbl_tasks[[#This Row],[Status]]="Planned",tbl_tasks[[#This Row],[Duration]],NA())</f>
        <v>17</v>
      </c>
      <c r="L69" s="19"/>
    </row>
    <row r="70" spans="1:12" x14ac:dyDescent="0.3">
      <c r="A70" s="19" t="s">
        <v>183</v>
      </c>
      <c r="B70" s="20" t="s">
        <v>79</v>
      </c>
      <c r="C70" s="20" t="s">
        <v>74</v>
      </c>
      <c r="D70" s="19" t="s">
        <v>56</v>
      </c>
      <c r="E70" s="21">
        <v>1</v>
      </c>
      <c r="F70" s="22">
        <v>45010</v>
      </c>
      <c r="G70" s="22">
        <v>45053</v>
      </c>
      <c r="H70" s="23">
        <v>43</v>
      </c>
      <c r="I70" s="24">
        <v>0</v>
      </c>
      <c r="J70" s="19" t="s">
        <v>24</v>
      </c>
      <c r="K70" s="23">
        <f>IF(tbl_tasks[[#This Row],[Status]]="Planned",tbl_tasks[[#This Row],[Duration]],NA())</f>
        <v>43</v>
      </c>
      <c r="L70" s="19"/>
    </row>
    <row r="71" spans="1:12" x14ac:dyDescent="0.3">
      <c r="A71" s="19" t="s">
        <v>184</v>
      </c>
      <c r="B71" s="20" t="s">
        <v>79</v>
      </c>
      <c r="C71" s="20" t="s">
        <v>74</v>
      </c>
      <c r="D71" s="19" t="s">
        <v>62</v>
      </c>
      <c r="E71" s="21">
        <v>2</v>
      </c>
      <c r="F71" s="22">
        <v>45053</v>
      </c>
      <c r="G71" s="22">
        <v>45096</v>
      </c>
      <c r="H71" s="23">
        <v>43</v>
      </c>
      <c r="I71" s="24">
        <v>43</v>
      </c>
      <c r="J71" s="19" t="s">
        <v>24</v>
      </c>
      <c r="K71" s="23">
        <f>IF(tbl_tasks[[#This Row],[Status]]="Planned",tbl_tasks[[#This Row],[Duration]],NA())</f>
        <v>43</v>
      </c>
      <c r="L71" s="19"/>
    </row>
    <row r="72" spans="1:12" x14ac:dyDescent="0.3">
      <c r="A72" s="19" t="s">
        <v>185</v>
      </c>
      <c r="B72" s="20" t="s">
        <v>79</v>
      </c>
      <c r="C72" s="20" t="s">
        <v>74</v>
      </c>
      <c r="D72" s="19" t="s">
        <v>63</v>
      </c>
      <c r="E72" s="21">
        <v>3</v>
      </c>
      <c r="F72" s="22">
        <v>45096</v>
      </c>
      <c r="G72" s="22">
        <v>45139</v>
      </c>
      <c r="H72" s="23">
        <v>43</v>
      </c>
      <c r="I72" s="24">
        <v>86</v>
      </c>
      <c r="J72" s="19" t="s">
        <v>24</v>
      </c>
      <c r="K72" s="23">
        <f>IF(tbl_tasks[[#This Row],[Status]]="Planned",tbl_tasks[[#This Row],[Duration]],NA())</f>
        <v>43</v>
      </c>
      <c r="L72" s="19"/>
    </row>
    <row r="73" spans="1:12" x14ac:dyDescent="0.3">
      <c r="A73" s="19" t="s">
        <v>186</v>
      </c>
      <c r="B73" s="20" t="s">
        <v>79</v>
      </c>
      <c r="C73" s="20" t="s">
        <v>74</v>
      </c>
      <c r="D73" s="19" t="s">
        <v>438</v>
      </c>
      <c r="E73" s="21">
        <v>4</v>
      </c>
      <c r="F73" s="22">
        <v>45139</v>
      </c>
      <c r="G73" s="22">
        <v>45182</v>
      </c>
      <c r="H73" s="23">
        <v>43</v>
      </c>
      <c r="I73" s="24">
        <v>129</v>
      </c>
      <c r="J73" s="19" t="s">
        <v>24</v>
      </c>
      <c r="K73" s="23">
        <f>IF(tbl_tasks[[#This Row],[Status]]="Planned",tbl_tasks[[#This Row],[Duration]],NA())</f>
        <v>43</v>
      </c>
      <c r="L73" s="19"/>
    </row>
    <row r="74" spans="1:12" x14ac:dyDescent="0.3">
      <c r="A74" s="19" t="s">
        <v>187</v>
      </c>
      <c r="B74" s="20" t="s">
        <v>79</v>
      </c>
      <c r="C74" s="20" t="s">
        <v>74</v>
      </c>
      <c r="D74" s="19" t="s">
        <v>33</v>
      </c>
      <c r="E74" s="21">
        <v>5</v>
      </c>
      <c r="F74" s="22">
        <v>45182</v>
      </c>
      <c r="G74" s="22">
        <v>45225</v>
      </c>
      <c r="H74" s="23">
        <v>43</v>
      </c>
      <c r="I74" s="24">
        <v>172</v>
      </c>
      <c r="J74" s="19" t="s">
        <v>24</v>
      </c>
      <c r="K74" s="23">
        <f>IF(tbl_tasks[[#This Row],[Status]]="Planned",tbl_tasks[[#This Row],[Duration]],NA())</f>
        <v>43</v>
      </c>
      <c r="L74" s="19"/>
    </row>
    <row r="75" spans="1:12" x14ac:dyDescent="0.3">
      <c r="A75" s="19" t="s">
        <v>188</v>
      </c>
      <c r="B75" s="20" t="s">
        <v>79</v>
      </c>
      <c r="C75" s="20" t="s">
        <v>74</v>
      </c>
      <c r="D75" s="19" t="s">
        <v>34</v>
      </c>
      <c r="E75" s="21">
        <v>6</v>
      </c>
      <c r="F75" s="22">
        <v>45225</v>
      </c>
      <c r="G75" s="22">
        <v>45268</v>
      </c>
      <c r="H75" s="23">
        <v>43</v>
      </c>
      <c r="I75" s="24">
        <v>215</v>
      </c>
      <c r="J75" s="19" t="s">
        <v>24</v>
      </c>
      <c r="K75" s="23">
        <f>IF(tbl_tasks[[#This Row],[Status]]="Planned",tbl_tasks[[#This Row],[Duration]],NA())</f>
        <v>43</v>
      </c>
      <c r="L75" s="19"/>
    </row>
    <row r="76" spans="1:12" x14ac:dyDescent="0.3">
      <c r="A76" s="19" t="s">
        <v>189</v>
      </c>
      <c r="B76" s="20" t="s">
        <v>79</v>
      </c>
      <c r="C76" s="20" t="s">
        <v>74</v>
      </c>
      <c r="D76" s="19" t="s">
        <v>68</v>
      </c>
      <c r="E76" s="21">
        <v>7</v>
      </c>
      <c r="F76" s="22">
        <v>45268</v>
      </c>
      <c r="G76" s="22">
        <v>45311</v>
      </c>
      <c r="H76" s="23">
        <v>43</v>
      </c>
      <c r="I76" s="24">
        <v>258</v>
      </c>
      <c r="J76" s="19" t="s">
        <v>24</v>
      </c>
      <c r="K76" s="23">
        <f>IF(tbl_tasks[[#This Row],[Status]]="Planned",tbl_tasks[[#This Row],[Duration]],NA())</f>
        <v>43</v>
      </c>
      <c r="L76" s="19"/>
    </row>
    <row r="77" spans="1:12" x14ac:dyDescent="0.3">
      <c r="A77" s="19" t="s">
        <v>190</v>
      </c>
      <c r="B77" s="20" t="s">
        <v>79</v>
      </c>
      <c r="C77" s="20" t="s">
        <v>74</v>
      </c>
      <c r="D77" s="19" t="s">
        <v>66</v>
      </c>
      <c r="E77" s="21">
        <v>8</v>
      </c>
      <c r="F77" s="22">
        <v>45311</v>
      </c>
      <c r="G77" s="22">
        <v>45354</v>
      </c>
      <c r="H77" s="23">
        <v>43</v>
      </c>
      <c r="I77" s="24">
        <v>301</v>
      </c>
      <c r="J77" s="19" t="s">
        <v>24</v>
      </c>
      <c r="K77" s="23">
        <f>IF(tbl_tasks[[#This Row],[Status]]="Planned",tbl_tasks[[#This Row],[Duration]],NA())</f>
        <v>43</v>
      </c>
      <c r="L77" s="19"/>
    </row>
    <row r="78" spans="1:12" x14ac:dyDescent="0.3">
      <c r="A78" s="19" t="s">
        <v>191</v>
      </c>
      <c r="B78" s="20" t="s">
        <v>79</v>
      </c>
      <c r="C78" s="20" t="s">
        <v>74</v>
      </c>
      <c r="D78" s="19" t="s">
        <v>67</v>
      </c>
      <c r="E78" s="21">
        <v>9</v>
      </c>
      <c r="F78" s="22">
        <v>45354</v>
      </c>
      <c r="G78" s="22">
        <v>45397</v>
      </c>
      <c r="H78" s="23">
        <v>43</v>
      </c>
      <c r="I78" s="24">
        <v>344</v>
      </c>
      <c r="J78" s="19" t="s">
        <v>24</v>
      </c>
      <c r="K78" s="23">
        <f>IF(tbl_tasks[[#This Row],[Status]]="Planned",tbl_tasks[[#This Row],[Duration]],NA())</f>
        <v>43</v>
      </c>
      <c r="L78" s="19"/>
    </row>
    <row r="79" spans="1:12" x14ac:dyDescent="0.3">
      <c r="A79" s="19" t="s">
        <v>192</v>
      </c>
      <c r="B79" s="20" t="s">
        <v>79</v>
      </c>
      <c r="C79" s="20" t="s">
        <v>74</v>
      </c>
      <c r="D79" s="19" t="s">
        <v>35</v>
      </c>
      <c r="E79" s="21">
        <v>10</v>
      </c>
      <c r="F79" s="22">
        <v>45397</v>
      </c>
      <c r="G79" s="22">
        <v>45441</v>
      </c>
      <c r="H79" s="23">
        <v>44</v>
      </c>
      <c r="I79" s="24">
        <v>387</v>
      </c>
      <c r="J79" s="19" t="s">
        <v>24</v>
      </c>
      <c r="K79" s="23">
        <f>IF(tbl_tasks[[#This Row],[Status]]="Planned",tbl_tasks[[#This Row],[Duration]],NA())</f>
        <v>44</v>
      </c>
      <c r="L79" s="19"/>
    </row>
    <row r="80" spans="1:12" x14ac:dyDescent="0.3">
      <c r="A80" s="19" t="s">
        <v>193</v>
      </c>
      <c r="B80" s="20" t="s">
        <v>79</v>
      </c>
      <c r="C80" s="20" t="s">
        <v>18</v>
      </c>
      <c r="D80" s="19" t="s">
        <v>57</v>
      </c>
      <c r="E80" s="21">
        <v>11</v>
      </c>
      <c r="F80" s="22">
        <v>45441</v>
      </c>
      <c r="G80" s="22">
        <v>45480</v>
      </c>
      <c r="H80" s="23">
        <v>39</v>
      </c>
      <c r="I80" s="24">
        <v>431</v>
      </c>
      <c r="J80" s="19" t="s">
        <v>24</v>
      </c>
      <c r="K80" s="23">
        <f>IF(tbl_tasks[[#This Row],[Status]]="Planned",tbl_tasks[[#This Row],[Duration]],NA())</f>
        <v>39</v>
      </c>
      <c r="L80" s="19"/>
    </row>
    <row r="81" spans="1:12" x14ac:dyDescent="0.3">
      <c r="A81" s="19" t="s">
        <v>194</v>
      </c>
      <c r="B81" s="20" t="s">
        <v>79</v>
      </c>
      <c r="C81" s="20" t="s">
        <v>18</v>
      </c>
      <c r="D81" s="19" t="s">
        <v>69</v>
      </c>
      <c r="E81" s="21">
        <v>12</v>
      </c>
      <c r="F81" s="22">
        <v>45480</v>
      </c>
      <c r="G81" s="22">
        <v>45519</v>
      </c>
      <c r="H81" s="23">
        <v>39</v>
      </c>
      <c r="I81" s="24">
        <v>470</v>
      </c>
      <c r="J81" s="19" t="s">
        <v>24</v>
      </c>
      <c r="K81" s="23">
        <f>IF(tbl_tasks[[#This Row],[Status]]="Planned",tbl_tasks[[#This Row],[Duration]],NA())</f>
        <v>39</v>
      </c>
      <c r="L81" s="19"/>
    </row>
    <row r="82" spans="1:12" x14ac:dyDescent="0.3">
      <c r="A82" s="19" t="s">
        <v>195</v>
      </c>
      <c r="B82" s="20" t="s">
        <v>79</v>
      </c>
      <c r="C82" s="20" t="s">
        <v>18</v>
      </c>
      <c r="D82" s="19" t="s">
        <v>70</v>
      </c>
      <c r="E82" s="21">
        <v>13</v>
      </c>
      <c r="F82" s="22">
        <v>45519</v>
      </c>
      <c r="G82" s="22">
        <v>45558</v>
      </c>
      <c r="H82" s="23">
        <v>39</v>
      </c>
      <c r="I82" s="24">
        <v>509</v>
      </c>
      <c r="J82" s="19" t="s">
        <v>24</v>
      </c>
      <c r="K82" s="23">
        <f>IF(tbl_tasks[[#This Row],[Status]]="Planned",tbl_tasks[[#This Row],[Duration]],NA())</f>
        <v>39</v>
      </c>
      <c r="L82" s="19"/>
    </row>
    <row r="83" spans="1:12" x14ac:dyDescent="0.3">
      <c r="A83" s="19" t="s">
        <v>196</v>
      </c>
      <c r="B83" s="20" t="s">
        <v>79</v>
      </c>
      <c r="C83" s="20" t="s">
        <v>18</v>
      </c>
      <c r="D83" s="19" t="s">
        <v>59</v>
      </c>
      <c r="E83" s="21">
        <v>14</v>
      </c>
      <c r="F83" s="22">
        <v>45558</v>
      </c>
      <c r="G83" s="22">
        <v>45597</v>
      </c>
      <c r="H83" s="23">
        <v>39</v>
      </c>
      <c r="I83" s="24">
        <v>548</v>
      </c>
      <c r="J83" s="19" t="s">
        <v>24</v>
      </c>
      <c r="K83" s="23">
        <f>IF(tbl_tasks[[#This Row],[Status]]="Planned",tbl_tasks[[#This Row],[Duration]],NA())</f>
        <v>39</v>
      </c>
      <c r="L83" s="19"/>
    </row>
    <row r="84" spans="1:12" x14ac:dyDescent="0.3">
      <c r="A84" s="19" t="s">
        <v>197</v>
      </c>
      <c r="B84" s="20" t="s">
        <v>79</v>
      </c>
      <c r="C84" s="20" t="s">
        <v>18</v>
      </c>
      <c r="D84" s="19" t="s">
        <v>105</v>
      </c>
      <c r="E84" s="21">
        <v>15</v>
      </c>
      <c r="F84" s="22">
        <v>45597</v>
      </c>
      <c r="G84" s="22">
        <v>45637</v>
      </c>
      <c r="H84" s="23">
        <v>40</v>
      </c>
      <c r="I84" s="24">
        <v>587</v>
      </c>
      <c r="J84" s="19" t="s">
        <v>24</v>
      </c>
      <c r="K84" s="23">
        <f>IF(tbl_tasks[[#This Row],[Status]]="Planned",tbl_tasks[[#This Row],[Duration]],NA())</f>
        <v>40</v>
      </c>
      <c r="L84" s="19"/>
    </row>
    <row r="85" spans="1:12" x14ac:dyDescent="0.3">
      <c r="A85" s="19" t="s">
        <v>198</v>
      </c>
      <c r="B85" s="20" t="s">
        <v>79</v>
      </c>
      <c r="C85" s="20" t="s">
        <v>74</v>
      </c>
      <c r="D85" s="19" t="s">
        <v>102</v>
      </c>
      <c r="E85" s="21">
        <v>16</v>
      </c>
      <c r="F85" s="22">
        <v>45637</v>
      </c>
      <c r="G85" s="22">
        <v>45659</v>
      </c>
      <c r="H85" s="23">
        <v>22</v>
      </c>
      <c r="I85" s="24">
        <v>627</v>
      </c>
      <c r="J85" s="19" t="s">
        <v>24</v>
      </c>
      <c r="K85" s="23">
        <f>IF(tbl_tasks[[#This Row],[Status]]="Planned",tbl_tasks[[#This Row],[Duration]],NA())</f>
        <v>22</v>
      </c>
      <c r="L85" s="19"/>
    </row>
    <row r="86" spans="1:12" x14ac:dyDescent="0.3">
      <c r="A86" s="19" t="s">
        <v>199</v>
      </c>
      <c r="B86" s="20" t="s">
        <v>79</v>
      </c>
      <c r="C86" s="20" t="s">
        <v>74</v>
      </c>
      <c r="D86" s="19" t="s">
        <v>36</v>
      </c>
      <c r="E86" s="21">
        <v>17</v>
      </c>
      <c r="F86" s="22">
        <v>45659</v>
      </c>
      <c r="G86" s="22">
        <v>45681</v>
      </c>
      <c r="H86" s="23">
        <v>22</v>
      </c>
      <c r="I86" s="24">
        <v>649</v>
      </c>
      <c r="J86" s="19" t="s">
        <v>24</v>
      </c>
      <c r="K86" s="23">
        <f>IF(tbl_tasks[[#This Row],[Status]]="Planned",tbl_tasks[[#This Row],[Duration]],NA())</f>
        <v>22</v>
      </c>
      <c r="L86" s="19"/>
    </row>
    <row r="87" spans="1:12" x14ac:dyDescent="0.3">
      <c r="A87" s="19" t="s">
        <v>200</v>
      </c>
      <c r="B87" s="20" t="s">
        <v>79</v>
      </c>
      <c r="C87" s="20" t="s">
        <v>74</v>
      </c>
      <c r="D87" s="19" t="s">
        <v>61</v>
      </c>
      <c r="E87" s="21">
        <v>18</v>
      </c>
      <c r="F87" s="22">
        <v>45681</v>
      </c>
      <c r="G87" s="22">
        <v>45703</v>
      </c>
      <c r="H87" s="23">
        <v>22</v>
      </c>
      <c r="I87" s="24">
        <v>671</v>
      </c>
      <c r="J87" s="19" t="s">
        <v>24</v>
      </c>
      <c r="K87" s="23">
        <f>IF(tbl_tasks[[#This Row],[Status]]="Planned",tbl_tasks[[#This Row],[Duration]],NA())</f>
        <v>22</v>
      </c>
      <c r="L87" s="19"/>
    </row>
    <row r="88" spans="1:12" x14ac:dyDescent="0.3">
      <c r="A88" s="19" t="s">
        <v>201</v>
      </c>
      <c r="B88" s="20" t="s">
        <v>79</v>
      </c>
      <c r="C88" s="20" t="s">
        <v>74</v>
      </c>
      <c r="D88" s="19" t="s">
        <v>71</v>
      </c>
      <c r="E88" s="21">
        <v>19</v>
      </c>
      <c r="F88" s="22">
        <v>45703</v>
      </c>
      <c r="G88" s="22">
        <v>45725</v>
      </c>
      <c r="H88" s="23">
        <v>22</v>
      </c>
      <c r="I88" s="24">
        <v>693</v>
      </c>
      <c r="J88" s="19" t="s">
        <v>24</v>
      </c>
      <c r="K88" s="23">
        <f>IF(tbl_tasks[[#This Row],[Status]]="Planned",tbl_tasks[[#This Row],[Duration]],NA())</f>
        <v>22</v>
      </c>
      <c r="L88" s="19"/>
    </row>
    <row r="89" spans="1:12" x14ac:dyDescent="0.3">
      <c r="A89" s="19" t="s">
        <v>202</v>
      </c>
      <c r="B89" s="20" t="s">
        <v>79</v>
      </c>
      <c r="C89" s="20" t="s">
        <v>74</v>
      </c>
      <c r="D89" s="19" t="s">
        <v>72</v>
      </c>
      <c r="E89" s="21">
        <v>20</v>
      </c>
      <c r="F89" s="22">
        <v>45725</v>
      </c>
      <c r="G89" s="22">
        <v>45747</v>
      </c>
      <c r="H89" s="23">
        <v>22</v>
      </c>
      <c r="I89" s="24">
        <v>715</v>
      </c>
      <c r="J89" s="19" t="s">
        <v>24</v>
      </c>
      <c r="K89" s="23">
        <f>IF(tbl_tasks[[#This Row],[Status]]="Planned",tbl_tasks[[#This Row],[Duration]],NA())</f>
        <v>22</v>
      </c>
      <c r="L89" s="19"/>
    </row>
    <row r="90" spans="1:12" x14ac:dyDescent="0.3">
      <c r="A90" s="19" t="s">
        <v>203</v>
      </c>
      <c r="B90" s="20" t="s">
        <v>79</v>
      </c>
      <c r="C90" s="20" t="s">
        <v>74</v>
      </c>
      <c r="D90" s="19" t="s">
        <v>106</v>
      </c>
      <c r="E90" s="21">
        <v>21</v>
      </c>
      <c r="F90" s="22">
        <v>45747</v>
      </c>
      <c r="G90" s="22">
        <v>45769</v>
      </c>
      <c r="H90" s="23">
        <v>22</v>
      </c>
      <c r="I90" s="24">
        <v>737</v>
      </c>
      <c r="J90" s="19" t="s">
        <v>24</v>
      </c>
      <c r="K90" s="23">
        <f>IF(tbl_tasks[[#This Row],[Status]]="Planned",tbl_tasks[[#This Row],[Duration]],NA())</f>
        <v>22</v>
      </c>
      <c r="L90" s="19"/>
    </row>
    <row r="91" spans="1:12" x14ac:dyDescent="0.3">
      <c r="A91" s="19" t="s">
        <v>204</v>
      </c>
      <c r="B91" s="20" t="s">
        <v>79</v>
      </c>
      <c r="C91" s="20" t="s">
        <v>74</v>
      </c>
      <c r="D91" s="19" t="s">
        <v>64</v>
      </c>
      <c r="E91" s="21">
        <v>22</v>
      </c>
      <c r="F91" s="22">
        <v>45769</v>
      </c>
      <c r="G91" s="22">
        <v>45794</v>
      </c>
      <c r="H91" s="23">
        <v>25</v>
      </c>
      <c r="I91" s="24">
        <v>759</v>
      </c>
      <c r="J91" s="19" t="s">
        <v>24</v>
      </c>
      <c r="K91" s="23">
        <f>IF(tbl_tasks[[#This Row],[Status]]="Planned",tbl_tasks[[#This Row],[Duration]],NA())</f>
        <v>25</v>
      </c>
      <c r="L91" s="19"/>
    </row>
    <row r="92" spans="1:12" x14ac:dyDescent="0.3">
      <c r="A92" s="19" t="s">
        <v>205</v>
      </c>
      <c r="B92" s="20" t="s">
        <v>80</v>
      </c>
      <c r="C92" s="20" t="s">
        <v>74</v>
      </c>
      <c r="D92" s="19" t="s">
        <v>56</v>
      </c>
      <c r="E92" s="21">
        <v>1</v>
      </c>
      <c r="F92" s="22">
        <v>45148</v>
      </c>
      <c r="G92" s="22">
        <v>45177</v>
      </c>
      <c r="H92" s="23">
        <v>29</v>
      </c>
      <c r="I92" s="24">
        <v>0</v>
      </c>
      <c r="J92" s="19" t="s">
        <v>24</v>
      </c>
      <c r="K92" s="23">
        <f>IF(tbl_tasks[[#This Row],[Status]]="Planned",tbl_tasks[[#This Row],[Duration]],NA())</f>
        <v>29</v>
      </c>
      <c r="L92" s="19"/>
    </row>
    <row r="93" spans="1:12" x14ac:dyDescent="0.3">
      <c r="A93" s="19" t="s">
        <v>206</v>
      </c>
      <c r="B93" s="20" t="s">
        <v>80</v>
      </c>
      <c r="C93" s="20" t="s">
        <v>74</v>
      </c>
      <c r="D93" s="19" t="s">
        <v>62</v>
      </c>
      <c r="E93" s="21">
        <v>2</v>
      </c>
      <c r="F93" s="22">
        <v>45177</v>
      </c>
      <c r="G93" s="22">
        <v>45206</v>
      </c>
      <c r="H93" s="23">
        <v>29</v>
      </c>
      <c r="I93" s="24">
        <v>29</v>
      </c>
      <c r="J93" s="19" t="s">
        <v>24</v>
      </c>
      <c r="K93" s="23">
        <f>IF(tbl_tasks[[#This Row],[Status]]="Planned",tbl_tasks[[#This Row],[Duration]],NA())</f>
        <v>29</v>
      </c>
      <c r="L93" s="19"/>
    </row>
    <row r="94" spans="1:12" x14ac:dyDescent="0.3">
      <c r="A94" s="19" t="s">
        <v>207</v>
      </c>
      <c r="B94" s="20" t="s">
        <v>80</v>
      </c>
      <c r="C94" s="20" t="s">
        <v>74</v>
      </c>
      <c r="D94" s="19" t="s">
        <v>63</v>
      </c>
      <c r="E94" s="21">
        <v>3</v>
      </c>
      <c r="F94" s="22">
        <v>45206</v>
      </c>
      <c r="G94" s="22">
        <v>45235</v>
      </c>
      <c r="H94" s="23">
        <v>29</v>
      </c>
      <c r="I94" s="24">
        <v>58</v>
      </c>
      <c r="J94" s="19" t="s">
        <v>24</v>
      </c>
      <c r="K94" s="23">
        <f>IF(tbl_tasks[[#This Row],[Status]]="Planned",tbl_tasks[[#This Row],[Duration]],NA())</f>
        <v>29</v>
      </c>
      <c r="L94" s="19"/>
    </row>
    <row r="95" spans="1:12" x14ac:dyDescent="0.3">
      <c r="A95" s="19" t="s">
        <v>208</v>
      </c>
      <c r="B95" s="20" t="s">
        <v>80</v>
      </c>
      <c r="C95" s="20" t="s">
        <v>74</v>
      </c>
      <c r="D95" s="19" t="s">
        <v>438</v>
      </c>
      <c r="E95" s="21">
        <v>4</v>
      </c>
      <c r="F95" s="22">
        <v>45235</v>
      </c>
      <c r="G95" s="22">
        <v>45264</v>
      </c>
      <c r="H95" s="23">
        <v>29</v>
      </c>
      <c r="I95" s="24">
        <v>87</v>
      </c>
      <c r="J95" s="19" t="s">
        <v>24</v>
      </c>
      <c r="K95" s="23">
        <f>IF(tbl_tasks[[#This Row],[Status]]="Planned",tbl_tasks[[#This Row],[Duration]],NA())</f>
        <v>29</v>
      </c>
      <c r="L95" s="19"/>
    </row>
    <row r="96" spans="1:12" x14ac:dyDescent="0.3">
      <c r="A96" s="19" t="s">
        <v>209</v>
      </c>
      <c r="B96" s="20" t="s">
        <v>80</v>
      </c>
      <c r="C96" s="20" t="s">
        <v>74</v>
      </c>
      <c r="D96" s="19" t="s">
        <v>33</v>
      </c>
      <c r="E96" s="21">
        <v>5</v>
      </c>
      <c r="F96" s="22">
        <v>45264</v>
      </c>
      <c r="G96" s="22">
        <v>45293</v>
      </c>
      <c r="H96" s="23">
        <v>29</v>
      </c>
      <c r="I96" s="24">
        <v>116</v>
      </c>
      <c r="J96" s="19" t="s">
        <v>24</v>
      </c>
      <c r="K96" s="23">
        <f>IF(tbl_tasks[[#This Row],[Status]]="Planned",tbl_tasks[[#This Row],[Duration]],NA())</f>
        <v>29</v>
      </c>
      <c r="L96" s="19"/>
    </row>
    <row r="97" spans="1:12" x14ac:dyDescent="0.3">
      <c r="A97" s="19" t="s">
        <v>210</v>
      </c>
      <c r="B97" s="20" t="s">
        <v>80</v>
      </c>
      <c r="C97" s="20" t="s">
        <v>74</v>
      </c>
      <c r="D97" s="19" t="s">
        <v>34</v>
      </c>
      <c r="E97" s="21">
        <v>6</v>
      </c>
      <c r="F97" s="22">
        <v>45293</v>
      </c>
      <c r="G97" s="22">
        <v>45322</v>
      </c>
      <c r="H97" s="23">
        <v>29</v>
      </c>
      <c r="I97" s="24">
        <v>145</v>
      </c>
      <c r="J97" s="19" t="s">
        <v>24</v>
      </c>
      <c r="K97" s="23">
        <f>IF(tbl_tasks[[#This Row],[Status]]="Planned",tbl_tasks[[#This Row],[Duration]],NA())</f>
        <v>29</v>
      </c>
      <c r="L97" s="19"/>
    </row>
    <row r="98" spans="1:12" x14ac:dyDescent="0.3">
      <c r="A98" s="19" t="s">
        <v>211</v>
      </c>
      <c r="B98" s="20" t="s">
        <v>80</v>
      </c>
      <c r="C98" s="20" t="s">
        <v>74</v>
      </c>
      <c r="D98" s="19" t="s">
        <v>68</v>
      </c>
      <c r="E98" s="21">
        <v>7</v>
      </c>
      <c r="F98" s="22">
        <v>45322</v>
      </c>
      <c r="G98" s="22">
        <v>45351</v>
      </c>
      <c r="H98" s="23">
        <v>29</v>
      </c>
      <c r="I98" s="24">
        <v>174</v>
      </c>
      <c r="J98" s="19" t="s">
        <v>24</v>
      </c>
      <c r="K98" s="23">
        <f>IF(tbl_tasks[[#This Row],[Status]]="Planned",tbl_tasks[[#This Row],[Duration]],NA())</f>
        <v>29</v>
      </c>
      <c r="L98" s="19"/>
    </row>
    <row r="99" spans="1:12" x14ac:dyDescent="0.3">
      <c r="A99" s="19" t="s">
        <v>212</v>
      </c>
      <c r="B99" s="20" t="s">
        <v>80</v>
      </c>
      <c r="C99" s="20" t="s">
        <v>74</v>
      </c>
      <c r="D99" s="19" t="s">
        <v>66</v>
      </c>
      <c r="E99" s="21">
        <v>8</v>
      </c>
      <c r="F99" s="22">
        <v>45351</v>
      </c>
      <c r="G99" s="22">
        <v>45380</v>
      </c>
      <c r="H99" s="23">
        <v>29</v>
      </c>
      <c r="I99" s="24">
        <v>203</v>
      </c>
      <c r="J99" s="19" t="s">
        <v>24</v>
      </c>
      <c r="K99" s="23">
        <f>IF(tbl_tasks[[#This Row],[Status]]="Planned",tbl_tasks[[#This Row],[Duration]],NA())</f>
        <v>29</v>
      </c>
      <c r="L99" s="19"/>
    </row>
    <row r="100" spans="1:12" x14ac:dyDescent="0.3">
      <c r="A100" s="19" t="s">
        <v>213</v>
      </c>
      <c r="B100" s="20" t="s">
        <v>80</v>
      </c>
      <c r="C100" s="20" t="s">
        <v>74</v>
      </c>
      <c r="D100" s="19" t="s">
        <v>67</v>
      </c>
      <c r="E100" s="21">
        <v>9</v>
      </c>
      <c r="F100" s="22">
        <v>45380</v>
      </c>
      <c r="G100" s="22">
        <v>45409</v>
      </c>
      <c r="H100" s="23">
        <v>29</v>
      </c>
      <c r="I100" s="24">
        <v>232</v>
      </c>
      <c r="J100" s="19" t="s">
        <v>24</v>
      </c>
      <c r="K100" s="23">
        <f>IF(tbl_tasks[[#This Row],[Status]]="Planned",tbl_tasks[[#This Row],[Duration]],NA())</f>
        <v>29</v>
      </c>
      <c r="L100" s="19"/>
    </row>
    <row r="101" spans="1:12" x14ac:dyDescent="0.3">
      <c r="A101" s="19" t="s">
        <v>214</v>
      </c>
      <c r="B101" s="20" t="s">
        <v>80</v>
      </c>
      <c r="C101" s="20" t="s">
        <v>74</v>
      </c>
      <c r="D101" s="19" t="s">
        <v>35</v>
      </c>
      <c r="E101" s="21">
        <v>10</v>
      </c>
      <c r="F101" s="22">
        <v>45409</v>
      </c>
      <c r="G101" s="22">
        <v>45446</v>
      </c>
      <c r="H101" s="23">
        <v>37</v>
      </c>
      <c r="I101" s="24">
        <v>261</v>
      </c>
      <c r="J101" s="19" t="s">
        <v>24</v>
      </c>
      <c r="K101" s="23">
        <f>IF(tbl_tasks[[#This Row],[Status]]="Planned",tbl_tasks[[#This Row],[Duration]],NA())</f>
        <v>37</v>
      </c>
      <c r="L101" s="19"/>
    </row>
    <row r="102" spans="1:12" x14ac:dyDescent="0.3">
      <c r="A102" s="19" t="s">
        <v>215</v>
      </c>
      <c r="B102" s="20" t="s">
        <v>80</v>
      </c>
      <c r="C102" s="20" t="s">
        <v>17</v>
      </c>
      <c r="D102" s="19" t="s">
        <v>57</v>
      </c>
      <c r="E102" s="21">
        <v>11</v>
      </c>
      <c r="F102" s="22">
        <v>45446</v>
      </c>
      <c r="G102" s="22">
        <v>45473</v>
      </c>
      <c r="H102" s="23">
        <v>27</v>
      </c>
      <c r="I102" s="24">
        <v>298</v>
      </c>
      <c r="J102" s="19" t="s">
        <v>24</v>
      </c>
      <c r="K102" s="23">
        <f>IF(tbl_tasks[[#This Row],[Status]]="Planned",tbl_tasks[[#This Row],[Duration]],NA())</f>
        <v>27</v>
      </c>
      <c r="L102" s="19"/>
    </row>
    <row r="103" spans="1:12" x14ac:dyDescent="0.3">
      <c r="A103" s="19" t="s">
        <v>216</v>
      </c>
      <c r="B103" s="20" t="s">
        <v>80</v>
      </c>
      <c r="C103" s="20" t="s">
        <v>17</v>
      </c>
      <c r="D103" s="19" t="s">
        <v>65</v>
      </c>
      <c r="E103" s="21">
        <v>12</v>
      </c>
      <c r="F103" s="22">
        <v>45473</v>
      </c>
      <c r="G103" s="22">
        <v>45500</v>
      </c>
      <c r="H103" s="23">
        <v>27</v>
      </c>
      <c r="I103" s="24">
        <v>325</v>
      </c>
      <c r="J103" s="19" t="s">
        <v>24</v>
      </c>
      <c r="K103" s="23">
        <f>IF(tbl_tasks[[#This Row],[Status]]="Planned",tbl_tasks[[#This Row],[Duration]],NA())</f>
        <v>27</v>
      </c>
      <c r="L103" s="19"/>
    </row>
    <row r="104" spans="1:12" x14ac:dyDescent="0.3">
      <c r="A104" s="19" t="s">
        <v>217</v>
      </c>
      <c r="B104" s="20" t="s">
        <v>80</v>
      </c>
      <c r="C104" s="20" t="s">
        <v>17</v>
      </c>
      <c r="D104" s="19" t="s">
        <v>58</v>
      </c>
      <c r="E104" s="21">
        <v>13</v>
      </c>
      <c r="F104" s="22">
        <v>45500</v>
      </c>
      <c r="G104" s="22">
        <v>45527</v>
      </c>
      <c r="H104" s="23">
        <v>27</v>
      </c>
      <c r="I104" s="24">
        <v>352</v>
      </c>
      <c r="J104" s="19" t="s">
        <v>24</v>
      </c>
      <c r="K104" s="23">
        <f>IF(tbl_tasks[[#This Row],[Status]]="Planned",tbl_tasks[[#This Row],[Duration]],NA())</f>
        <v>27</v>
      </c>
      <c r="L104" s="19"/>
    </row>
    <row r="105" spans="1:12" x14ac:dyDescent="0.3">
      <c r="A105" s="19" t="s">
        <v>218</v>
      </c>
      <c r="B105" s="20" t="s">
        <v>80</v>
      </c>
      <c r="C105" s="20" t="s">
        <v>17</v>
      </c>
      <c r="D105" s="19" t="s">
        <v>103</v>
      </c>
      <c r="E105" s="21">
        <v>14</v>
      </c>
      <c r="F105" s="22">
        <v>45527</v>
      </c>
      <c r="G105" s="22">
        <v>45554</v>
      </c>
      <c r="H105" s="23">
        <v>27</v>
      </c>
      <c r="I105" s="24">
        <v>379</v>
      </c>
      <c r="J105" s="19" t="s">
        <v>24</v>
      </c>
      <c r="K105" s="23">
        <f>IF(tbl_tasks[[#This Row],[Status]]="Planned",tbl_tasks[[#This Row],[Duration]],NA())</f>
        <v>27</v>
      </c>
      <c r="L105" s="19"/>
    </row>
    <row r="106" spans="1:12" x14ac:dyDescent="0.3">
      <c r="A106" s="19" t="s">
        <v>219</v>
      </c>
      <c r="B106" s="20" t="s">
        <v>80</v>
      </c>
      <c r="C106" s="20" t="s">
        <v>17</v>
      </c>
      <c r="D106" s="19" t="s">
        <v>104</v>
      </c>
      <c r="E106" s="21">
        <v>15</v>
      </c>
      <c r="F106" s="22">
        <v>45554</v>
      </c>
      <c r="G106" s="22">
        <v>45581</v>
      </c>
      <c r="H106" s="23">
        <v>27</v>
      </c>
      <c r="I106" s="24">
        <v>406</v>
      </c>
      <c r="J106" s="19" t="s">
        <v>24</v>
      </c>
      <c r="K106" s="23">
        <f>IF(tbl_tasks[[#This Row],[Status]]="Planned",tbl_tasks[[#This Row],[Duration]],NA())</f>
        <v>27</v>
      </c>
      <c r="L106" s="19"/>
    </row>
    <row r="107" spans="1:12" x14ac:dyDescent="0.3">
      <c r="A107" s="19" t="s">
        <v>220</v>
      </c>
      <c r="B107" s="20" t="s">
        <v>80</v>
      </c>
      <c r="C107" s="20" t="s">
        <v>74</v>
      </c>
      <c r="D107" s="19" t="s">
        <v>102</v>
      </c>
      <c r="E107" s="21">
        <v>16</v>
      </c>
      <c r="F107" s="22">
        <v>45581</v>
      </c>
      <c r="G107" s="22">
        <v>45596</v>
      </c>
      <c r="H107" s="23">
        <v>15</v>
      </c>
      <c r="I107" s="24">
        <v>433</v>
      </c>
      <c r="J107" s="19" t="s">
        <v>24</v>
      </c>
      <c r="K107" s="23">
        <f>IF(tbl_tasks[[#This Row],[Status]]="Planned",tbl_tasks[[#This Row],[Duration]],NA())</f>
        <v>15</v>
      </c>
      <c r="L107" s="19"/>
    </row>
    <row r="108" spans="1:12" x14ac:dyDescent="0.3">
      <c r="A108" s="19" t="s">
        <v>221</v>
      </c>
      <c r="B108" s="20" t="s">
        <v>80</v>
      </c>
      <c r="C108" s="20" t="s">
        <v>74</v>
      </c>
      <c r="D108" s="19" t="s">
        <v>36</v>
      </c>
      <c r="E108" s="21">
        <v>17</v>
      </c>
      <c r="F108" s="22">
        <v>45596</v>
      </c>
      <c r="G108" s="22">
        <v>45611</v>
      </c>
      <c r="H108" s="23">
        <v>15</v>
      </c>
      <c r="I108" s="24">
        <v>448</v>
      </c>
      <c r="J108" s="19" t="s">
        <v>24</v>
      </c>
      <c r="K108" s="23">
        <f>IF(tbl_tasks[[#This Row],[Status]]="Planned",tbl_tasks[[#This Row],[Duration]],NA())</f>
        <v>15</v>
      </c>
      <c r="L108" s="19"/>
    </row>
    <row r="109" spans="1:12" x14ac:dyDescent="0.3">
      <c r="A109" s="19" t="s">
        <v>222</v>
      </c>
      <c r="B109" s="20" t="s">
        <v>80</v>
      </c>
      <c r="C109" s="20" t="s">
        <v>74</v>
      </c>
      <c r="D109" s="19" t="s">
        <v>61</v>
      </c>
      <c r="E109" s="21">
        <v>18</v>
      </c>
      <c r="F109" s="22">
        <v>45611</v>
      </c>
      <c r="G109" s="22">
        <v>45626</v>
      </c>
      <c r="H109" s="23">
        <v>15</v>
      </c>
      <c r="I109" s="24">
        <v>463</v>
      </c>
      <c r="J109" s="19" t="s">
        <v>24</v>
      </c>
      <c r="K109" s="23">
        <f>IF(tbl_tasks[[#This Row],[Status]]="Planned",tbl_tasks[[#This Row],[Duration]],NA())</f>
        <v>15</v>
      </c>
      <c r="L109" s="19"/>
    </row>
    <row r="110" spans="1:12" x14ac:dyDescent="0.3">
      <c r="A110" s="19" t="s">
        <v>223</v>
      </c>
      <c r="B110" s="20" t="s">
        <v>80</v>
      </c>
      <c r="C110" s="20" t="s">
        <v>74</v>
      </c>
      <c r="D110" s="19" t="s">
        <v>71</v>
      </c>
      <c r="E110" s="21">
        <v>19</v>
      </c>
      <c r="F110" s="22">
        <v>45626</v>
      </c>
      <c r="G110" s="22">
        <v>45641</v>
      </c>
      <c r="H110" s="23">
        <v>15</v>
      </c>
      <c r="I110" s="24">
        <v>478</v>
      </c>
      <c r="J110" s="19" t="s">
        <v>24</v>
      </c>
      <c r="K110" s="23">
        <f>IF(tbl_tasks[[#This Row],[Status]]="Planned",tbl_tasks[[#This Row],[Duration]],NA())</f>
        <v>15</v>
      </c>
      <c r="L110" s="19"/>
    </row>
    <row r="111" spans="1:12" x14ac:dyDescent="0.3">
      <c r="A111" s="19" t="s">
        <v>224</v>
      </c>
      <c r="B111" s="20" t="s">
        <v>80</v>
      </c>
      <c r="C111" s="20" t="s">
        <v>74</v>
      </c>
      <c r="D111" s="19" t="s">
        <v>72</v>
      </c>
      <c r="E111" s="21">
        <v>20</v>
      </c>
      <c r="F111" s="22">
        <v>45641</v>
      </c>
      <c r="G111" s="22">
        <v>45656</v>
      </c>
      <c r="H111" s="23">
        <v>15</v>
      </c>
      <c r="I111" s="24">
        <v>493</v>
      </c>
      <c r="J111" s="19" t="s">
        <v>24</v>
      </c>
      <c r="K111" s="23">
        <f>IF(tbl_tasks[[#This Row],[Status]]="Planned",tbl_tasks[[#This Row],[Duration]],NA())</f>
        <v>15</v>
      </c>
      <c r="L111" s="19"/>
    </row>
    <row r="112" spans="1:12" x14ac:dyDescent="0.3">
      <c r="A112" s="19" t="s">
        <v>225</v>
      </c>
      <c r="B112" s="20" t="s">
        <v>80</v>
      </c>
      <c r="C112" s="20" t="s">
        <v>74</v>
      </c>
      <c r="D112" s="19" t="s">
        <v>106</v>
      </c>
      <c r="E112" s="21">
        <v>21</v>
      </c>
      <c r="F112" s="22">
        <v>45656</v>
      </c>
      <c r="G112" s="22">
        <v>45671</v>
      </c>
      <c r="H112" s="23">
        <v>15</v>
      </c>
      <c r="I112" s="24">
        <v>508</v>
      </c>
      <c r="J112" s="19" t="s">
        <v>24</v>
      </c>
      <c r="K112" s="23">
        <f>IF(tbl_tasks[[#This Row],[Status]]="Planned",tbl_tasks[[#This Row],[Duration]],NA())</f>
        <v>15</v>
      </c>
      <c r="L112" s="19"/>
    </row>
    <row r="113" spans="1:12" x14ac:dyDescent="0.3">
      <c r="A113" s="19" t="s">
        <v>226</v>
      </c>
      <c r="B113" s="20" t="s">
        <v>80</v>
      </c>
      <c r="C113" s="20" t="s">
        <v>74</v>
      </c>
      <c r="D113" s="19" t="s">
        <v>64</v>
      </c>
      <c r="E113" s="21">
        <v>22</v>
      </c>
      <c r="F113" s="22">
        <v>45671</v>
      </c>
      <c r="G113" s="22">
        <v>45691</v>
      </c>
      <c r="H113" s="23">
        <v>20</v>
      </c>
      <c r="I113" s="24">
        <v>523</v>
      </c>
      <c r="J113" s="19" t="s">
        <v>24</v>
      </c>
      <c r="K113" s="23">
        <f>IF(tbl_tasks[[#This Row],[Status]]="Planned",tbl_tasks[[#This Row],[Duration]],NA())</f>
        <v>20</v>
      </c>
      <c r="L113" s="19"/>
    </row>
    <row r="114" spans="1:12" x14ac:dyDescent="0.3">
      <c r="A114" s="19" t="s">
        <v>227</v>
      </c>
      <c r="B114" s="20" t="s">
        <v>81</v>
      </c>
      <c r="C114" s="20" t="s">
        <v>74</v>
      </c>
      <c r="D114" s="19" t="s">
        <v>56</v>
      </c>
      <c r="E114" s="21">
        <v>1</v>
      </c>
      <c r="F114" s="22">
        <v>45454</v>
      </c>
      <c r="G114" s="22">
        <v>45483</v>
      </c>
      <c r="H114" s="23">
        <v>29</v>
      </c>
      <c r="I114" s="24">
        <v>0</v>
      </c>
      <c r="J114" s="19" t="s">
        <v>24</v>
      </c>
      <c r="K114" s="23">
        <f>IF(tbl_tasks[[#This Row],[Status]]="Planned",tbl_tasks[[#This Row],[Duration]],NA())</f>
        <v>29</v>
      </c>
      <c r="L114" s="19"/>
    </row>
    <row r="115" spans="1:12" x14ac:dyDescent="0.3">
      <c r="A115" s="19" t="s">
        <v>228</v>
      </c>
      <c r="B115" s="20" t="s">
        <v>81</v>
      </c>
      <c r="C115" s="20" t="s">
        <v>74</v>
      </c>
      <c r="D115" s="19" t="s">
        <v>62</v>
      </c>
      <c r="E115" s="21">
        <v>2</v>
      </c>
      <c r="F115" s="22">
        <v>45483</v>
      </c>
      <c r="G115" s="22">
        <v>45512</v>
      </c>
      <c r="H115" s="23">
        <v>29</v>
      </c>
      <c r="I115" s="24">
        <v>29</v>
      </c>
      <c r="J115" s="19" t="s">
        <v>24</v>
      </c>
      <c r="K115" s="23">
        <f>IF(tbl_tasks[[#This Row],[Status]]="Planned",tbl_tasks[[#This Row],[Duration]],NA())</f>
        <v>29</v>
      </c>
      <c r="L115" s="19"/>
    </row>
    <row r="116" spans="1:12" x14ac:dyDescent="0.3">
      <c r="A116" s="19" t="s">
        <v>229</v>
      </c>
      <c r="B116" s="20" t="s">
        <v>81</v>
      </c>
      <c r="C116" s="20" t="s">
        <v>74</v>
      </c>
      <c r="D116" s="19" t="s">
        <v>63</v>
      </c>
      <c r="E116" s="21">
        <v>3</v>
      </c>
      <c r="F116" s="22">
        <v>45512</v>
      </c>
      <c r="G116" s="22">
        <v>45541</v>
      </c>
      <c r="H116" s="23">
        <v>29</v>
      </c>
      <c r="I116" s="24">
        <v>58</v>
      </c>
      <c r="J116" s="19" t="s">
        <v>24</v>
      </c>
      <c r="K116" s="23">
        <f>IF(tbl_tasks[[#This Row],[Status]]="Planned",tbl_tasks[[#This Row],[Duration]],NA())</f>
        <v>29</v>
      </c>
      <c r="L116" s="19"/>
    </row>
    <row r="117" spans="1:12" x14ac:dyDescent="0.3">
      <c r="A117" s="19" t="s">
        <v>230</v>
      </c>
      <c r="B117" s="20" t="s">
        <v>81</v>
      </c>
      <c r="C117" s="20" t="s">
        <v>74</v>
      </c>
      <c r="D117" s="19" t="s">
        <v>438</v>
      </c>
      <c r="E117" s="21">
        <v>4</v>
      </c>
      <c r="F117" s="22">
        <v>45541</v>
      </c>
      <c r="G117" s="22">
        <v>45570</v>
      </c>
      <c r="H117" s="23">
        <v>29</v>
      </c>
      <c r="I117" s="24">
        <v>87</v>
      </c>
      <c r="J117" s="19" t="s">
        <v>24</v>
      </c>
      <c r="K117" s="23">
        <f>IF(tbl_tasks[[#This Row],[Status]]="Planned",tbl_tasks[[#This Row],[Duration]],NA())</f>
        <v>29</v>
      </c>
      <c r="L117" s="19"/>
    </row>
    <row r="118" spans="1:12" x14ac:dyDescent="0.3">
      <c r="A118" s="19" t="s">
        <v>231</v>
      </c>
      <c r="B118" s="20" t="s">
        <v>81</v>
      </c>
      <c r="C118" s="20" t="s">
        <v>74</v>
      </c>
      <c r="D118" s="19" t="s">
        <v>33</v>
      </c>
      <c r="E118" s="21">
        <v>5</v>
      </c>
      <c r="F118" s="22">
        <v>45570</v>
      </c>
      <c r="G118" s="22">
        <v>45599</v>
      </c>
      <c r="H118" s="23">
        <v>29</v>
      </c>
      <c r="I118" s="24">
        <v>116</v>
      </c>
      <c r="J118" s="19" t="s">
        <v>24</v>
      </c>
      <c r="K118" s="23">
        <f>IF(tbl_tasks[[#This Row],[Status]]="Planned",tbl_tasks[[#This Row],[Duration]],NA())</f>
        <v>29</v>
      </c>
      <c r="L118" s="19"/>
    </row>
    <row r="119" spans="1:12" x14ac:dyDescent="0.3">
      <c r="A119" s="19" t="s">
        <v>232</v>
      </c>
      <c r="B119" s="20" t="s">
        <v>81</v>
      </c>
      <c r="C119" s="20" t="s">
        <v>74</v>
      </c>
      <c r="D119" s="19" t="s">
        <v>34</v>
      </c>
      <c r="E119" s="21">
        <v>6</v>
      </c>
      <c r="F119" s="22">
        <v>45599</v>
      </c>
      <c r="G119" s="22">
        <v>45628</v>
      </c>
      <c r="H119" s="23">
        <v>29</v>
      </c>
      <c r="I119" s="24">
        <v>145</v>
      </c>
      <c r="J119" s="19" t="s">
        <v>24</v>
      </c>
      <c r="K119" s="23">
        <f>IF(tbl_tasks[[#This Row],[Status]]="Planned",tbl_tasks[[#This Row],[Duration]],NA())</f>
        <v>29</v>
      </c>
      <c r="L119" s="19"/>
    </row>
    <row r="120" spans="1:12" x14ac:dyDescent="0.3">
      <c r="A120" s="19" t="s">
        <v>233</v>
      </c>
      <c r="B120" s="20" t="s">
        <v>81</v>
      </c>
      <c r="C120" s="20" t="s">
        <v>74</v>
      </c>
      <c r="D120" s="19" t="s">
        <v>68</v>
      </c>
      <c r="E120" s="21">
        <v>7</v>
      </c>
      <c r="F120" s="22">
        <v>45628</v>
      </c>
      <c r="G120" s="22">
        <v>45657</v>
      </c>
      <c r="H120" s="23">
        <v>29</v>
      </c>
      <c r="I120" s="24">
        <v>174</v>
      </c>
      <c r="J120" s="19" t="s">
        <v>24</v>
      </c>
      <c r="K120" s="23">
        <f>IF(tbl_tasks[[#This Row],[Status]]="Planned",tbl_tasks[[#This Row],[Duration]],NA())</f>
        <v>29</v>
      </c>
      <c r="L120" s="19"/>
    </row>
    <row r="121" spans="1:12" x14ac:dyDescent="0.3">
      <c r="A121" s="19" t="s">
        <v>234</v>
      </c>
      <c r="B121" s="20" t="s">
        <v>81</v>
      </c>
      <c r="C121" s="20" t="s">
        <v>74</v>
      </c>
      <c r="D121" s="19" t="s">
        <v>66</v>
      </c>
      <c r="E121" s="21">
        <v>8</v>
      </c>
      <c r="F121" s="22">
        <v>45657</v>
      </c>
      <c r="G121" s="22">
        <v>45686</v>
      </c>
      <c r="H121" s="23">
        <v>29</v>
      </c>
      <c r="I121" s="24">
        <v>203</v>
      </c>
      <c r="J121" s="19" t="s">
        <v>24</v>
      </c>
      <c r="K121" s="23">
        <f>IF(tbl_tasks[[#This Row],[Status]]="Planned",tbl_tasks[[#This Row],[Duration]],NA())</f>
        <v>29</v>
      </c>
      <c r="L121" s="19"/>
    </row>
    <row r="122" spans="1:12" x14ac:dyDescent="0.3">
      <c r="A122" s="19" t="s">
        <v>235</v>
      </c>
      <c r="B122" s="20" t="s">
        <v>81</v>
      </c>
      <c r="C122" s="20" t="s">
        <v>74</v>
      </c>
      <c r="D122" s="19" t="s">
        <v>67</v>
      </c>
      <c r="E122" s="21">
        <v>9</v>
      </c>
      <c r="F122" s="22">
        <v>45686</v>
      </c>
      <c r="G122" s="22">
        <v>45715</v>
      </c>
      <c r="H122" s="23">
        <v>29</v>
      </c>
      <c r="I122" s="24">
        <v>232</v>
      </c>
      <c r="J122" s="19" t="s">
        <v>24</v>
      </c>
      <c r="K122" s="23">
        <f>IF(tbl_tasks[[#This Row],[Status]]="Planned",tbl_tasks[[#This Row],[Duration]],NA())</f>
        <v>29</v>
      </c>
      <c r="L122" s="19"/>
    </row>
    <row r="123" spans="1:12" x14ac:dyDescent="0.3">
      <c r="A123" s="19" t="s">
        <v>236</v>
      </c>
      <c r="B123" s="20" t="s">
        <v>81</v>
      </c>
      <c r="C123" s="20" t="s">
        <v>74</v>
      </c>
      <c r="D123" s="19" t="s">
        <v>35</v>
      </c>
      <c r="E123" s="21">
        <v>10</v>
      </c>
      <c r="F123" s="22">
        <v>45715</v>
      </c>
      <c r="G123" s="22">
        <v>45748</v>
      </c>
      <c r="H123" s="23">
        <v>33</v>
      </c>
      <c r="I123" s="24">
        <v>261</v>
      </c>
      <c r="J123" s="19" t="s">
        <v>24</v>
      </c>
      <c r="K123" s="23">
        <f>IF(tbl_tasks[[#This Row],[Status]]="Planned",tbl_tasks[[#This Row],[Duration]],NA())</f>
        <v>33</v>
      </c>
      <c r="L123" s="19"/>
    </row>
    <row r="124" spans="1:12" x14ac:dyDescent="0.3">
      <c r="A124" s="19" t="s">
        <v>237</v>
      </c>
      <c r="B124" s="20" t="s">
        <v>81</v>
      </c>
      <c r="C124" s="20" t="s">
        <v>19</v>
      </c>
      <c r="D124" s="19" t="s">
        <v>60</v>
      </c>
      <c r="E124" s="21">
        <v>11</v>
      </c>
      <c r="F124" s="22">
        <v>45748</v>
      </c>
      <c r="G124" s="22">
        <v>45774</v>
      </c>
      <c r="H124" s="23">
        <v>26</v>
      </c>
      <c r="I124" s="24">
        <v>294</v>
      </c>
      <c r="J124" s="19" t="s">
        <v>24</v>
      </c>
      <c r="K124" s="23">
        <f>IF(tbl_tasks[[#This Row],[Status]]="Planned",tbl_tasks[[#This Row],[Duration]],NA())</f>
        <v>26</v>
      </c>
      <c r="L124" s="19"/>
    </row>
    <row r="125" spans="1:12" x14ac:dyDescent="0.3">
      <c r="A125" s="19" t="s">
        <v>238</v>
      </c>
      <c r="B125" s="20" t="s">
        <v>81</v>
      </c>
      <c r="C125" s="20" t="s">
        <v>19</v>
      </c>
      <c r="D125" s="19" t="s">
        <v>73</v>
      </c>
      <c r="E125" s="21">
        <v>12</v>
      </c>
      <c r="F125" s="22">
        <v>45774</v>
      </c>
      <c r="G125" s="22">
        <v>45800</v>
      </c>
      <c r="H125" s="23">
        <v>26</v>
      </c>
      <c r="I125" s="24">
        <v>320</v>
      </c>
      <c r="J125" s="19" t="s">
        <v>24</v>
      </c>
      <c r="K125" s="23">
        <f>IF(tbl_tasks[[#This Row],[Status]]="Planned",tbl_tasks[[#This Row],[Duration]],NA())</f>
        <v>26</v>
      </c>
      <c r="L125" s="19"/>
    </row>
    <row r="126" spans="1:12" x14ac:dyDescent="0.3">
      <c r="A126" s="19" t="s">
        <v>239</v>
      </c>
      <c r="B126" s="20" t="s">
        <v>81</v>
      </c>
      <c r="C126" s="20" t="s">
        <v>19</v>
      </c>
      <c r="D126" s="19" t="s">
        <v>107</v>
      </c>
      <c r="E126" s="21">
        <v>13</v>
      </c>
      <c r="F126" s="22">
        <v>45800</v>
      </c>
      <c r="G126" s="22">
        <v>45826</v>
      </c>
      <c r="H126" s="23">
        <v>26</v>
      </c>
      <c r="I126" s="24">
        <v>346</v>
      </c>
      <c r="J126" s="19" t="s">
        <v>24</v>
      </c>
      <c r="K126" s="23">
        <f>IF(tbl_tasks[[#This Row],[Status]]="Planned",tbl_tasks[[#This Row],[Duration]],NA())</f>
        <v>26</v>
      </c>
      <c r="L126" s="19"/>
    </row>
    <row r="127" spans="1:12" x14ac:dyDescent="0.3">
      <c r="A127" s="19" t="s">
        <v>240</v>
      </c>
      <c r="B127" s="20" t="s">
        <v>81</v>
      </c>
      <c r="C127" s="20" t="s">
        <v>19</v>
      </c>
      <c r="D127" s="19" t="s">
        <v>108</v>
      </c>
      <c r="E127" s="21">
        <v>14</v>
      </c>
      <c r="F127" s="22">
        <v>45826</v>
      </c>
      <c r="G127" s="22">
        <v>45852</v>
      </c>
      <c r="H127" s="23">
        <v>26</v>
      </c>
      <c r="I127" s="24">
        <v>372</v>
      </c>
      <c r="J127" s="19" t="s">
        <v>24</v>
      </c>
      <c r="K127" s="23">
        <f>IF(tbl_tasks[[#This Row],[Status]]="Planned",tbl_tasks[[#This Row],[Duration]],NA())</f>
        <v>26</v>
      </c>
      <c r="L127" s="19"/>
    </row>
    <row r="128" spans="1:12" x14ac:dyDescent="0.3">
      <c r="A128" s="19" t="s">
        <v>241</v>
      </c>
      <c r="B128" s="20" t="s">
        <v>81</v>
      </c>
      <c r="C128" s="20" t="s">
        <v>19</v>
      </c>
      <c r="D128" s="19" t="s">
        <v>109</v>
      </c>
      <c r="E128" s="21">
        <v>15</v>
      </c>
      <c r="F128" s="22">
        <v>45852</v>
      </c>
      <c r="G128" s="22">
        <v>45881</v>
      </c>
      <c r="H128" s="23">
        <v>29</v>
      </c>
      <c r="I128" s="24">
        <v>398</v>
      </c>
      <c r="J128" s="19" t="s">
        <v>24</v>
      </c>
      <c r="K128" s="23">
        <f>IF(tbl_tasks[[#This Row],[Status]]="Planned",tbl_tasks[[#This Row],[Duration]],NA())</f>
        <v>29</v>
      </c>
      <c r="L128" s="19"/>
    </row>
    <row r="129" spans="1:12" x14ac:dyDescent="0.3">
      <c r="A129" s="19" t="s">
        <v>242</v>
      </c>
      <c r="B129" s="20" t="s">
        <v>81</v>
      </c>
      <c r="C129" s="20" t="s">
        <v>74</v>
      </c>
      <c r="D129" s="19" t="s">
        <v>102</v>
      </c>
      <c r="E129" s="21">
        <v>16</v>
      </c>
      <c r="F129" s="22">
        <v>45881</v>
      </c>
      <c r="G129" s="22">
        <v>45896</v>
      </c>
      <c r="H129" s="23">
        <v>15</v>
      </c>
      <c r="I129" s="24">
        <v>427</v>
      </c>
      <c r="J129" s="19" t="s">
        <v>24</v>
      </c>
      <c r="K129" s="23">
        <f>IF(tbl_tasks[[#This Row],[Status]]="Planned",tbl_tasks[[#This Row],[Duration]],NA())</f>
        <v>15</v>
      </c>
      <c r="L129" s="19"/>
    </row>
    <row r="130" spans="1:12" x14ac:dyDescent="0.3">
      <c r="A130" s="19" t="s">
        <v>243</v>
      </c>
      <c r="B130" s="20" t="s">
        <v>81</v>
      </c>
      <c r="C130" s="20" t="s">
        <v>74</v>
      </c>
      <c r="D130" s="19" t="s">
        <v>36</v>
      </c>
      <c r="E130" s="21">
        <v>17</v>
      </c>
      <c r="F130" s="22">
        <v>45896</v>
      </c>
      <c r="G130" s="22">
        <v>45911</v>
      </c>
      <c r="H130" s="23">
        <v>15</v>
      </c>
      <c r="I130" s="24">
        <v>442</v>
      </c>
      <c r="J130" s="19" t="s">
        <v>24</v>
      </c>
      <c r="K130" s="23">
        <f>IF(tbl_tasks[[#This Row],[Status]]="Planned",tbl_tasks[[#This Row],[Duration]],NA())</f>
        <v>15</v>
      </c>
      <c r="L130" s="19"/>
    </row>
    <row r="131" spans="1:12" x14ac:dyDescent="0.3">
      <c r="A131" s="19" t="s">
        <v>244</v>
      </c>
      <c r="B131" s="20" t="s">
        <v>81</v>
      </c>
      <c r="C131" s="20" t="s">
        <v>74</v>
      </c>
      <c r="D131" s="19" t="s">
        <v>61</v>
      </c>
      <c r="E131" s="21">
        <v>18</v>
      </c>
      <c r="F131" s="22">
        <v>45911</v>
      </c>
      <c r="G131" s="22">
        <v>45926</v>
      </c>
      <c r="H131" s="23">
        <v>15</v>
      </c>
      <c r="I131" s="24">
        <v>457</v>
      </c>
      <c r="J131" s="19" t="s">
        <v>24</v>
      </c>
      <c r="K131" s="23">
        <f>IF(tbl_tasks[[#This Row],[Status]]="Planned",tbl_tasks[[#This Row],[Duration]],NA())</f>
        <v>15</v>
      </c>
      <c r="L131" s="19"/>
    </row>
    <row r="132" spans="1:12" x14ac:dyDescent="0.3">
      <c r="A132" s="19" t="s">
        <v>245</v>
      </c>
      <c r="B132" s="20" t="s">
        <v>81</v>
      </c>
      <c r="C132" s="20" t="s">
        <v>74</v>
      </c>
      <c r="D132" s="19" t="s">
        <v>71</v>
      </c>
      <c r="E132" s="21">
        <v>19</v>
      </c>
      <c r="F132" s="22">
        <v>45926</v>
      </c>
      <c r="G132" s="22">
        <v>45941</v>
      </c>
      <c r="H132" s="23">
        <v>15</v>
      </c>
      <c r="I132" s="24">
        <v>472</v>
      </c>
      <c r="J132" s="19" t="s">
        <v>24</v>
      </c>
      <c r="K132" s="23">
        <f>IF(tbl_tasks[[#This Row],[Status]]="Planned",tbl_tasks[[#This Row],[Duration]],NA())</f>
        <v>15</v>
      </c>
      <c r="L132" s="19"/>
    </row>
    <row r="133" spans="1:12" x14ac:dyDescent="0.3">
      <c r="A133" s="19" t="s">
        <v>246</v>
      </c>
      <c r="B133" s="20" t="s">
        <v>81</v>
      </c>
      <c r="C133" s="20" t="s">
        <v>74</v>
      </c>
      <c r="D133" s="19" t="s">
        <v>72</v>
      </c>
      <c r="E133" s="21">
        <v>20</v>
      </c>
      <c r="F133" s="22">
        <v>45941</v>
      </c>
      <c r="G133" s="22">
        <v>45956</v>
      </c>
      <c r="H133" s="23">
        <v>15</v>
      </c>
      <c r="I133" s="24">
        <v>487</v>
      </c>
      <c r="J133" s="19" t="s">
        <v>24</v>
      </c>
      <c r="K133" s="23">
        <f>IF(tbl_tasks[[#This Row],[Status]]="Planned",tbl_tasks[[#This Row],[Duration]],NA())</f>
        <v>15</v>
      </c>
      <c r="L133" s="19"/>
    </row>
    <row r="134" spans="1:12" x14ac:dyDescent="0.3">
      <c r="A134" s="19" t="s">
        <v>247</v>
      </c>
      <c r="B134" s="20" t="s">
        <v>81</v>
      </c>
      <c r="C134" s="20" t="s">
        <v>74</v>
      </c>
      <c r="D134" s="19" t="s">
        <v>106</v>
      </c>
      <c r="E134" s="21">
        <v>21</v>
      </c>
      <c r="F134" s="22">
        <v>45956</v>
      </c>
      <c r="G134" s="22">
        <v>45971</v>
      </c>
      <c r="H134" s="23">
        <v>15</v>
      </c>
      <c r="I134" s="24">
        <v>502</v>
      </c>
      <c r="J134" s="19" t="s">
        <v>24</v>
      </c>
      <c r="K134" s="23">
        <f>IF(tbl_tasks[[#This Row],[Status]]="Planned",tbl_tasks[[#This Row],[Duration]],NA())</f>
        <v>15</v>
      </c>
      <c r="L134" s="19"/>
    </row>
    <row r="135" spans="1:12" x14ac:dyDescent="0.3">
      <c r="A135" s="19" t="s">
        <v>248</v>
      </c>
      <c r="B135" s="20" t="s">
        <v>81</v>
      </c>
      <c r="C135" s="20" t="s">
        <v>74</v>
      </c>
      <c r="D135" s="19" t="s">
        <v>64</v>
      </c>
      <c r="E135" s="21">
        <v>22</v>
      </c>
      <c r="F135" s="22">
        <v>45971</v>
      </c>
      <c r="G135" s="22">
        <v>45989</v>
      </c>
      <c r="H135" s="23">
        <v>18</v>
      </c>
      <c r="I135" s="24">
        <v>517</v>
      </c>
      <c r="J135" s="19" t="s">
        <v>24</v>
      </c>
      <c r="K135" s="23">
        <f>IF(tbl_tasks[[#This Row],[Status]]="Planned",tbl_tasks[[#This Row],[Duration]],NA())</f>
        <v>18</v>
      </c>
      <c r="L135" s="19"/>
    </row>
    <row r="136" spans="1:12" x14ac:dyDescent="0.3">
      <c r="A136" s="19" t="s">
        <v>249</v>
      </c>
      <c r="B136" s="20" t="s">
        <v>82</v>
      </c>
      <c r="C136" s="20" t="s">
        <v>74</v>
      </c>
      <c r="D136" s="19" t="s">
        <v>56</v>
      </c>
      <c r="E136" s="21">
        <v>1</v>
      </c>
      <c r="F136" s="22">
        <v>45123</v>
      </c>
      <c r="G136" s="22">
        <v>45157</v>
      </c>
      <c r="H136" s="23">
        <v>34</v>
      </c>
      <c r="I136" s="24">
        <v>0</v>
      </c>
      <c r="J136" s="19" t="s">
        <v>24</v>
      </c>
      <c r="K136" s="23">
        <f>IF(tbl_tasks[[#This Row],[Status]]="Planned",tbl_tasks[[#This Row],[Duration]],NA())</f>
        <v>34</v>
      </c>
      <c r="L136" s="19"/>
    </row>
    <row r="137" spans="1:12" x14ac:dyDescent="0.3">
      <c r="A137" s="19" t="s">
        <v>250</v>
      </c>
      <c r="B137" s="20" t="s">
        <v>82</v>
      </c>
      <c r="C137" s="20" t="s">
        <v>74</v>
      </c>
      <c r="D137" s="19" t="s">
        <v>62</v>
      </c>
      <c r="E137" s="21">
        <v>2</v>
      </c>
      <c r="F137" s="22">
        <v>45157</v>
      </c>
      <c r="G137" s="22">
        <v>45191</v>
      </c>
      <c r="H137" s="23">
        <v>34</v>
      </c>
      <c r="I137" s="24">
        <v>34</v>
      </c>
      <c r="J137" s="19" t="s">
        <v>24</v>
      </c>
      <c r="K137" s="23">
        <f>IF(tbl_tasks[[#This Row],[Status]]="Planned",tbl_tasks[[#This Row],[Duration]],NA())</f>
        <v>34</v>
      </c>
      <c r="L137" s="19"/>
    </row>
    <row r="138" spans="1:12" x14ac:dyDescent="0.3">
      <c r="A138" s="19" t="s">
        <v>251</v>
      </c>
      <c r="B138" s="20" t="s">
        <v>82</v>
      </c>
      <c r="C138" s="20" t="s">
        <v>74</v>
      </c>
      <c r="D138" s="19" t="s">
        <v>63</v>
      </c>
      <c r="E138" s="21">
        <v>3</v>
      </c>
      <c r="F138" s="22">
        <v>45191</v>
      </c>
      <c r="G138" s="22">
        <v>45225</v>
      </c>
      <c r="H138" s="23">
        <v>34</v>
      </c>
      <c r="I138" s="24">
        <v>68</v>
      </c>
      <c r="J138" s="19" t="s">
        <v>24</v>
      </c>
      <c r="K138" s="23">
        <f>IF(tbl_tasks[[#This Row],[Status]]="Planned",tbl_tasks[[#This Row],[Duration]],NA())</f>
        <v>34</v>
      </c>
      <c r="L138" s="19"/>
    </row>
    <row r="139" spans="1:12" x14ac:dyDescent="0.3">
      <c r="A139" s="19" t="s">
        <v>252</v>
      </c>
      <c r="B139" s="20" t="s">
        <v>82</v>
      </c>
      <c r="C139" s="20" t="s">
        <v>74</v>
      </c>
      <c r="D139" s="19" t="s">
        <v>438</v>
      </c>
      <c r="E139" s="21">
        <v>4</v>
      </c>
      <c r="F139" s="22">
        <v>45225</v>
      </c>
      <c r="G139" s="22">
        <v>45259</v>
      </c>
      <c r="H139" s="23">
        <v>34</v>
      </c>
      <c r="I139" s="24">
        <v>102</v>
      </c>
      <c r="J139" s="19" t="s">
        <v>24</v>
      </c>
      <c r="K139" s="23">
        <f>IF(tbl_tasks[[#This Row],[Status]]="Planned",tbl_tasks[[#This Row],[Duration]],NA())</f>
        <v>34</v>
      </c>
      <c r="L139" s="19"/>
    </row>
    <row r="140" spans="1:12" x14ac:dyDescent="0.3">
      <c r="A140" s="19" t="s">
        <v>253</v>
      </c>
      <c r="B140" s="20" t="s">
        <v>82</v>
      </c>
      <c r="C140" s="20" t="s">
        <v>74</v>
      </c>
      <c r="D140" s="19" t="s">
        <v>33</v>
      </c>
      <c r="E140" s="21">
        <v>5</v>
      </c>
      <c r="F140" s="22">
        <v>45259</v>
      </c>
      <c r="G140" s="22">
        <v>45293</v>
      </c>
      <c r="H140" s="23">
        <v>34</v>
      </c>
      <c r="I140" s="24">
        <v>136</v>
      </c>
      <c r="J140" s="19" t="s">
        <v>24</v>
      </c>
      <c r="K140" s="23">
        <f>IF(tbl_tasks[[#This Row],[Status]]="Planned",tbl_tasks[[#This Row],[Duration]],NA())</f>
        <v>34</v>
      </c>
      <c r="L140" s="19"/>
    </row>
    <row r="141" spans="1:12" x14ac:dyDescent="0.3">
      <c r="A141" s="19" t="s">
        <v>254</v>
      </c>
      <c r="B141" s="20" t="s">
        <v>82</v>
      </c>
      <c r="C141" s="20" t="s">
        <v>74</v>
      </c>
      <c r="D141" s="19" t="s">
        <v>34</v>
      </c>
      <c r="E141" s="21">
        <v>6</v>
      </c>
      <c r="F141" s="22">
        <v>45293</v>
      </c>
      <c r="G141" s="22">
        <v>45327</v>
      </c>
      <c r="H141" s="23">
        <v>34</v>
      </c>
      <c r="I141" s="24">
        <v>170</v>
      </c>
      <c r="J141" s="19" t="s">
        <v>24</v>
      </c>
      <c r="K141" s="23">
        <f>IF(tbl_tasks[[#This Row],[Status]]="Planned",tbl_tasks[[#This Row],[Duration]],NA())</f>
        <v>34</v>
      </c>
      <c r="L141" s="19"/>
    </row>
    <row r="142" spans="1:12" x14ac:dyDescent="0.3">
      <c r="A142" s="19" t="s">
        <v>255</v>
      </c>
      <c r="B142" s="20" t="s">
        <v>82</v>
      </c>
      <c r="C142" s="20" t="s">
        <v>74</v>
      </c>
      <c r="D142" s="19" t="s">
        <v>68</v>
      </c>
      <c r="E142" s="21">
        <v>7</v>
      </c>
      <c r="F142" s="22">
        <v>45327</v>
      </c>
      <c r="G142" s="22">
        <v>45361</v>
      </c>
      <c r="H142" s="23">
        <v>34</v>
      </c>
      <c r="I142" s="24">
        <v>204</v>
      </c>
      <c r="J142" s="19" t="s">
        <v>24</v>
      </c>
      <c r="K142" s="23">
        <f>IF(tbl_tasks[[#This Row],[Status]]="Planned",tbl_tasks[[#This Row],[Duration]],NA())</f>
        <v>34</v>
      </c>
      <c r="L142" s="19"/>
    </row>
    <row r="143" spans="1:12" x14ac:dyDescent="0.3">
      <c r="A143" s="19" t="s">
        <v>256</v>
      </c>
      <c r="B143" s="20" t="s">
        <v>82</v>
      </c>
      <c r="C143" s="20" t="s">
        <v>74</v>
      </c>
      <c r="D143" s="19" t="s">
        <v>66</v>
      </c>
      <c r="E143" s="21">
        <v>8</v>
      </c>
      <c r="F143" s="22">
        <v>45361</v>
      </c>
      <c r="G143" s="22">
        <v>45395</v>
      </c>
      <c r="H143" s="23">
        <v>34</v>
      </c>
      <c r="I143" s="24">
        <v>238</v>
      </c>
      <c r="J143" s="19" t="s">
        <v>24</v>
      </c>
      <c r="K143" s="23">
        <f>IF(tbl_tasks[[#This Row],[Status]]="Planned",tbl_tasks[[#This Row],[Duration]],NA())</f>
        <v>34</v>
      </c>
      <c r="L143" s="19"/>
    </row>
    <row r="144" spans="1:12" x14ac:dyDescent="0.3">
      <c r="A144" s="19" t="s">
        <v>257</v>
      </c>
      <c r="B144" s="20" t="s">
        <v>82</v>
      </c>
      <c r="C144" s="20" t="s">
        <v>74</v>
      </c>
      <c r="D144" s="19" t="s">
        <v>67</v>
      </c>
      <c r="E144" s="21">
        <v>9</v>
      </c>
      <c r="F144" s="22">
        <v>45395</v>
      </c>
      <c r="G144" s="22">
        <v>45429</v>
      </c>
      <c r="H144" s="23">
        <v>34</v>
      </c>
      <c r="I144" s="24">
        <v>272</v>
      </c>
      <c r="J144" s="19" t="s">
        <v>24</v>
      </c>
      <c r="K144" s="23">
        <f>IF(tbl_tasks[[#This Row],[Status]]="Planned",tbl_tasks[[#This Row],[Duration]],NA())</f>
        <v>34</v>
      </c>
      <c r="L144" s="19"/>
    </row>
    <row r="145" spans="1:12" x14ac:dyDescent="0.3">
      <c r="A145" s="19" t="s">
        <v>258</v>
      </c>
      <c r="B145" s="20" t="s">
        <v>82</v>
      </c>
      <c r="C145" s="20" t="s">
        <v>74</v>
      </c>
      <c r="D145" s="19" t="s">
        <v>35</v>
      </c>
      <c r="E145" s="21">
        <v>10</v>
      </c>
      <c r="F145" s="22">
        <v>45429</v>
      </c>
      <c r="G145" s="22">
        <v>45466</v>
      </c>
      <c r="H145" s="23">
        <v>37</v>
      </c>
      <c r="I145" s="24">
        <v>306</v>
      </c>
      <c r="J145" s="19" t="s">
        <v>24</v>
      </c>
      <c r="K145" s="23">
        <f>IF(tbl_tasks[[#This Row],[Status]]="Planned",tbl_tasks[[#This Row],[Duration]],NA())</f>
        <v>37</v>
      </c>
      <c r="L145" s="19"/>
    </row>
    <row r="146" spans="1:12" x14ac:dyDescent="0.3">
      <c r="A146" s="19" t="s">
        <v>259</v>
      </c>
      <c r="B146" s="20" t="s">
        <v>82</v>
      </c>
      <c r="C146" s="20" t="s">
        <v>17</v>
      </c>
      <c r="D146" s="19" t="s">
        <v>57</v>
      </c>
      <c r="E146" s="21">
        <v>11</v>
      </c>
      <c r="F146" s="22">
        <v>45466</v>
      </c>
      <c r="G146" s="22">
        <v>45497</v>
      </c>
      <c r="H146" s="23">
        <v>31</v>
      </c>
      <c r="I146" s="24">
        <v>343</v>
      </c>
      <c r="J146" s="19" t="s">
        <v>24</v>
      </c>
      <c r="K146" s="23">
        <f>IF(tbl_tasks[[#This Row],[Status]]="Planned",tbl_tasks[[#This Row],[Duration]],NA())</f>
        <v>31</v>
      </c>
      <c r="L146" s="19"/>
    </row>
    <row r="147" spans="1:12" x14ac:dyDescent="0.3">
      <c r="A147" s="19" t="s">
        <v>260</v>
      </c>
      <c r="B147" s="20" t="s">
        <v>82</v>
      </c>
      <c r="C147" s="20" t="s">
        <v>17</v>
      </c>
      <c r="D147" s="19" t="s">
        <v>65</v>
      </c>
      <c r="E147" s="21">
        <v>12</v>
      </c>
      <c r="F147" s="22">
        <v>45497</v>
      </c>
      <c r="G147" s="22">
        <v>45528</v>
      </c>
      <c r="H147" s="23">
        <v>31</v>
      </c>
      <c r="I147" s="24">
        <v>374</v>
      </c>
      <c r="J147" s="19" t="s">
        <v>24</v>
      </c>
      <c r="K147" s="23">
        <f>IF(tbl_tasks[[#This Row],[Status]]="Planned",tbl_tasks[[#This Row],[Duration]],NA())</f>
        <v>31</v>
      </c>
      <c r="L147" s="19"/>
    </row>
    <row r="148" spans="1:12" x14ac:dyDescent="0.3">
      <c r="A148" s="19" t="s">
        <v>261</v>
      </c>
      <c r="B148" s="20" t="s">
        <v>82</v>
      </c>
      <c r="C148" s="20" t="s">
        <v>17</v>
      </c>
      <c r="D148" s="19" t="s">
        <v>58</v>
      </c>
      <c r="E148" s="21">
        <v>13</v>
      </c>
      <c r="F148" s="22">
        <v>45528</v>
      </c>
      <c r="G148" s="22">
        <v>45559</v>
      </c>
      <c r="H148" s="23">
        <v>31</v>
      </c>
      <c r="I148" s="24">
        <v>405</v>
      </c>
      <c r="J148" s="19" t="s">
        <v>24</v>
      </c>
      <c r="K148" s="23">
        <f>IF(tbl_tasks[[#This Row],[Status]]="Planned",tbl_tasks[[#This Row],[Duration]],NA())</f>
        <v>31</v>
      </c>
      <c r="L148" s="19"/>
    </row>
    <row r="149" spans="1:12" x14ac:dyDescent="0.3">
      <c r="A149" s="19" t="s">
        <v>262</v>
      </c>
      <c r="B149" s="20" t="s">
        <v>82</v>
      </c>
      <c r="C149" s="20" t="s">
        <v>17</v>
      </c>
      <c r="D149" s="19" t="s">
        <v>103</v>
      </c>
      <c r="E149" s="21">
        <v>14</v>
      </c>
      <c r="F149" s="22">
        <v>45559</v>
      </c>
      <c r="G149" s="22">
        <v>45590</v>
      </c>
      <c r="H149" s="23">
        <v>31</v>
      </c>
      <c r="I149" s="24">
        <v>436</v>
      </c>
      <c r="J149" s="19" t="s">
        <v>24</v>
      </c>
      <c r="K149" s="23">
        <f>IF(tbl_tasks[[#This Row],[Status]]="Planned",tbl_tasks[[#This Row],[Duration]],NA())</f>
        <v>31</v>
      </c>
      <c r="L149" s="19"/>
    </row>
    <row r="150" spans="1:12" x14ac:dyDescent="0.3">
      <c r="A150" s="19" t="s">
        <v>263</v>
      </c>
      <c r="B150" s="20" t="s">
        <v>82</v>
      </c>
      <c r="C150" s="20" t="s">
        <v>17</v>
      </c>
      <c r="D150" s="19" t="s">
        <v>104</v>
      </c>
      <c r="E150" s="21">
        <v>15</v>
      </c>
      <c r="F150" s="22">
        <v>45590</v>
      </c>
      <c r="G150" s="22">
        <v>45622</v>
      </c>
      <c r="H150" s="23">
        <v>32</v>
      </c>
      <c r="I150" s="24">
        <v>467</v>
      </c>
      <c r="J150" s="19" t="s">
        <v>24</v>
      </c>
      <c r="K150" s="23">
        <f>IF(tbl_tasks[[#This Row],[Status]]="Planned",tbl_tasks[[#This Row],[Duration]],NA())</f>
        <v>32</v>
      </c>
      <c r="L150" s="19"/>
    </row>
    <row r="151" spans="1:12" x14ac:dyDescent="0.3">
      <c r="A151" s="19" t="s">
        <v>264</v>
      </c>
      <c r="B151" s="20" t="s">
        <v>82</v>
      </c>
      <c r="C151" s="20" t="s">
        <v>74</v>
      </c>
      <c r="D151" s="19" t="s">
        <v>102</v>
      </c>
      <c r="E151" s="21">
        <v>16</v>
      </c>
      <c r="F151" s="22">
        <v>45622</v>
      </c>
      <c r="G151" s="22">
        <v>45640</v>
      </c>
      <c r="H151" s="23">
        <v>18</v>
      </c>
      <c r="I151" s="24">
        <v>499</v>
      </c>
      <c r="J151" s="19" t="s">
        <v>24</v>
      </c>
      <c r="K151" s="23">
        <f>IF(tbl_tasks[[#This Row],[Status]]="Planned",tbl_tasks[[#This Row],[Duration]],NA())</f>
        <v>18</v>
      </c>
      <c r="L151" s="19"/>
    </row>
    <row r="152" spans="1:12" x14ac:dyDescent="0.3">
      <c r="A152" s="19" t="s">
        <v>265</v>
      </c>
      <c r="B152" s="20" t="s">
        <v>82</v>
      </c>
      <c r="C152" s="20" t="s">
        <v>74</v>
      </c>
      <c r="D152" s="19" t="s">
        <v>36</v>
      </c>
      <c r="E152" s="21">
        <v>17</v>
      </c>
      <c r="F152" s="22">
        <v>45640</v>
      </c>
      <c r="G152" s="22">
        <v>45658</v>
      </c>
      <c r="H152" s="23">
        <v>18</v>
      </c>
      <c r="I152" s="24">
        <v>517</v>
      </c>
      <c r="J152" s="19" t="s">
        <v>24</v>
      </c>
      <c r="K152" s="23">
        <f>IF(tbl_tasks[[#This Row],[Status]]="Planned",tbl_tasks[[#This Row],[Duration]],NA())</f>
        <v>18</v>
      </c>
      <c r="L152" s="19"/>
    </row>
    <row r="153" spans="1:12" x14ac:dyDescent="0.3">
      <c r="A153" s="19" t="s">
        <v>266</v>
      </c>
      <c r="B153" s="20" t="s">
        <v>82</v>
      </c>
      <c r="C153" s="20" t="s">
        <v>74</v>
      </c>
      <c r="D153" s="19" t="s">
        <v>61</v>
      </c>
      <c r="E153" s="21">
        <v>18</v>
      </c>
      <c r="F153" s="22">
        <v>45658</v>
      </c>
      <c r="G153" s="22">
        <v>45676</v>
      </c>
      <c r="H153" s="23">
        <v>18</v>
      </c>
      <c r="I153" s="24">
        <v>535</v>
      </c>
      <c r="J153" s="19" t="s">
        <v>24</v>
      </c>
      <c r="K153" s="23">
        <f>IF(tbl_tasks[[#This Row],[Status]]="Planned",tbl_tasks[[#This Row],[Duration]],NA())</f>
        <v>18</v>
      </c>
      <c r="L153" s="19"/>
    </row>
    <row r="154" spans="1:12" x14ac:dyDescent="0.3">
      <c r="A154" s="19" t="s">
        <v>267</v>
      </c>
      <c r="B154" s="20" t="s">
        <v>82</v>
      </c>
      <c r="C154" s="20" t="s">
        <v>74</v>
      </c>
      <c r="D154" s="19" t="s">
        <v>71</v>
      </c>
      <c r="E154" s="21">
        <v>19</v>
      </c>
      <c r="F154" s="22">
        <v>45676</v>
      </c>
      <c r="G154" s="22">
        <v>45694</v>
      </c>
      <c r="H154" s="23">
        <v>18</v>
      </c>
      <c r="I154" s="24">
        <v>553</v>
      </c>
      <c r="J154" s="19" t="s">
        <v>24</v>
      </c>
      <c r="K154" s="23">
        <f>IF(tbl_tasks[[#This Row],[Status]]="Planned",tbl_tasks[[#This Row],[Duration]],NA())</f>
        <v>18</v>
      </c>
      <c r="L154" s="19"/>
    </row>
    <row r="155" spans="1:12" x14ac:dyDescent="0.3">
      <c r="A155" s="19" t="s">
        <v>268</v>
      </c>
      <c r="B155" s="20" t="s">
        <v>82</v>
      </c>
      <c r="C155" s="20" t="s">
        <v>74</v>
      </c>
      <c r="D155" s="19" t="s">
        <v>72</v>
      </c>
      <c r="E155" s="21">
        <v>20</v>
      </c>
      <c r="F155" s="22">
        <v>45694</v>
      </c>
      <c r="G155" s="22">
        <v>45712</v>
      </c>
      <c r="H155" s="23">
        <v>18</v>
      </c>
      <c r="I155" s="24">
        <v>571</v>
      </c>
      <c r="J155" s="19" t="s">
        <v>24</v>
      </c>
      <c r="K155" s="23">
        <f>IF(tbl_tasks[[#This Row],[Status]]="Planned",tbl_tasks[[#This Row],[Duration]],NA())</f>
        <v>18</v>
      </c>
      <c r="L155" s="19"/>
    </row>
    <row r="156" spans="1:12" x14ac:dyDescent="0.3">
      <c r="A156" s="19" t="s">
        <v>269</v>
      </c>
      <c r="B156" s="20" t="s">
        <v>82</v>
      </c>
      <c r="C156" s="20" t="s">
        <v>74</v>
      </c>
      <c r="D156" s="19" t="s">
        <v>106</v>
      </c>
      <c r="E156" s="21">
        <v>21</v>
      </c>
      <c r="F156" s="22">
        <v>45712</v>
      </c>
      <c r="G156" s="22">
        <v>45730</v>
      </c>
      <c r="H156" s="23">
        <v>18</v>
      </c>
      <c r="I156" s="24">
        <v>589</v>
      </c>
      <c r="J156" s="19" t="s">
        <v>24</v>
      </c>
      <c r="K156" s="23">
        <f>IF(tbl_tasks[[#This Row],[Status]]="Planned",tbl_tasks[[#This Row],[Duration]],NA())</f>
        <v>18</v>
      </c>
      <c r="L156" s="19"/>
    </row>
    <row r="157" spans="1:12" x14ac:dyDescent="0.3">
      <c r="A157" s="19" t="s">
        <v>270</v>
      </c>
      <c r="B157" s="20" t="s">
        <v>82</v>
      </c>
      <c r="C157" s="20" t="s">
        <v>74</v>
      </c>
      <c r="D157" s="19" t="s">
        <v>64</v>
      </c>
      <c r="E157" s="21">
        <v>22</v>
      </c>
      <c r="F157" s="22">
        <v>45730</v>
      </c>
      <c r="G157" s="22">
        <v>45748</v>
      </c>
      <c r="H157" s="23">
        <v>18</v>
      </c>
      <c r="I157" s="24">
        <v>607</v>
      </c>
      <c r="J157" s="19" t="s">
        <v>24</v>
      </c>
      <c r="K157" s="23">
        <f>IF(tbl_tasks[[#This Row],[Status]]="Planned",tbl_tasks[[#This Row],[Duration]],NA())</f>
        <v>18</v>
      </c>
      <c r="L157" s="19"/>
    </row>
    <row r="158" spans="1:12" x14ac:dyDescent="0.3">
      <c r="A158" s="19" t="s">
        <v>271</v>
      </c>
      <c r="B158" s="20" t="s">
        <v>83</v>
      </c>
      <c r="C158" s="20" t="s">
        <v>74</v>
      </c>
      <c r="D158" s="19" t="s">
        <v>56</v>
      </c>
      <c r="E158" s="21">
        <v>1</v>
      </c>
      <c r="F158" s="22">
        <v>45079</v>
      </c>
      <c r="G158" s="22">
        <v>45129</v>
      </c>
      <c r="H158" s="23">
        <v>50</v>
      </c>
      <c r="I158" s="24">
        <v>0</v>
      </c>
      <c r="J158" s="19" t="s">
        <v>24</v>
      </c>
      <c r="K158" s="23">
        <f>IF(tbl_tasks[[#This Row],[Status]]="Planned",tbl_tasks[[#This Row],[Duration]],NA())</f>
        <v>50</v>
      </c>
      <c r="L158" s="19"/>
    </row>
    <row r="159" spans="1:12" x14ac:dyDescent="0.3">
      <c r="A159" s="19" t="s">
        <v>272</v>
      </c>
      <c r="B159" s="20" t="s">
        <v>83</v>
      </c>
      <c r="C159" s="20" t="s">
        <v>74</v>
      </c>
      <c r="D159" s="19" t="s">
        <v>62</v>
      </c>
      <c r="E159" s="21">
        <v>2</v>
      </c>
      <c r="F159" s="22">
        <v>45129</v>
      </c>
      <c r="G159" s="22">
        <v>45179</v>
      </c>
      <c r="H159" s="23">
        <v>50</v>
      </c>
      <c r="I159" s="24">
        <v>50</v>
      </c>
      <c r="J159" s="19" t="s">
        <v>24</v>
      </c>
      <c r="K159" s="23">
        <f>IF(tbl_tasks[[#This Row],[Status]]="Planned",tbl_tasks[[#This Row],[Duration]],NA())</f>
        <v>50</v>
      </c>
      <c r="L159" s="19"/>
    </row>
    <row r="160" spans="1:12" x14ac:dyDescent="0.3">
      <c r="A160" s="19" t="s">
        <v>273</v>
      </c>
      <c r="B160" s="20" t="s">
        <v>83</v>
      </c>
      <c r="C160" s="20" t="s">
        <v>74</v>
      </c>
      <c r="D160" s="19" t="s">
        <v>63</v>
      </c>
      <c r="E160" s="21">
        <v>3</v>
      </c>
      <c r="F160" s="22">
        <v>45179</v>
      </c>
      <c r="G160" s="22">
        <v>45229</v>
      </c>
      <c r="H160" s="23">
        <v>50</v>
      </c>
      <c r="I160" s="24">
        <v>100</v>
      </c>
      <c r="J160" s="19" t="s">
        <v>24</v>
      </c>
      <c r="K160" s="23">
        <f>IF(tbl_tasks[[#This Row],[Status]]="Planned",tbl_tasks[[#This Row],[Duration]],NA())</f>
        <v>50</v>
      </c>
      <c r="L160" s="19"/>
    </row>
    <row r="161" spans="1:12" x14ac:dyDescent="0.3">
      <c r="A161" s="19" t="s">
        <v>274</v>
      </c>
      <c r="B161" s="20" t="s">
        <v>83</v>
      </c>
      <c r="C161" s="20" t="s">
        <v>74</v>
      </c>
      <c r="D161" s="19" t="s">
        <v>438</v>
      </c>
      <c r="E161" s="21">
        <v>4</v>
      </c>
      <c r="F161" s="22">
        <v>45229</v>
      </c>
      <c r="G161" s="22">
        <v>45279</v>
      </c>
      <c r="H161" s="23">
        <v>50</v>
      </c>
      <c r="I161" s="24">
        <v>150</v>
      </c>
      <c r="J161" s="19" t="s">
        <v>24</v>
      </c>
      <c r="K161" s="23">
        <f>IF(tbl_tasks[[#This Row],[Status]]="Planned",tbl_tasks[[#This Row],[Duration]],NA())</f>
        <v>50</v>
      </c>
      <c r="L161" s="19"/>
    </row>
    <row r="162" spans="1:12" x14ac:dyDescent="0.3">
      <c r="A162" s="19" t="s">
        <v>275</v>
      </c>
      <c r="B162" s="20" t="s">
        <v>83</v>
      </c>
      <c r="C162" s="20" t="s">
        <v>74</v>
      </c>
      <c r="D162" s="19" t="s">
        <v>33</v>
      </c>
      <c r="E162" s="21">
        <v>5</v>
      </c>
      <c r="F162" s="22">
        <v>45279</v>
      </c>
      <c r="G162" s="22">
        <v>45329</v>
      </c>
      <c r="H162" s="23">
        <v>50</v>
      </c>
      <c r="I162" s="24">
        <v>200</v>
      </c>
      <c r="J162" s="19" t="s">
        <v>24</v>
      </c>
      <c r="K162" s="23">
        <f>IF(tbl_tasks[[#This Row],[Status]]="Planned",tbl_tasks[[#This Row],[Duration]],NA())</f>
        <v>50</v>
      </c>
      <c r="L162" s="19"/>
    </row>
    <row r="163" spans="1:12" x14ac:dyDescent="0.3">
      <c r="A163" s="19" t="s">
        <v>276</v>
      </c>
      <c r="B163" s="20" t="s">
        <v>83</v>
      </c>
      <c r="C163" s="20" t="s">
        <v>74</v>
      </c>
      <c r="D163" s="19" t="s">
        <v>34</v>
      </c>
      <c r="E163" s="21">
        <v>6</v>
      </c>
      <c r="F163" s="22">
        <v>45329</v>
      </c>
      <c r="G163" s="22">
        <v>45379</v>
      </c>
      <c r="H163" s="23">
        <v>50</v>
      </c>
      <c r="I163" s="24">
        <v>250</v>
      </c>
      <c r="J163" s="19" t="s">
        <v>24</v>
      </c>
      <c r="K163" s="23">
        <f>IF(tbl_tasks[[#This Row],[Status]]="Planned",tbl_tasks[[#This Row],[Duration]],NA())</f>
        <v>50</v>
      </c>
      <c r="L163" s="19"/>
    </row>
    <row r="164" spans="1:12" x14ac:dyDescent="0.3">
      <c r="A164" s="19" t="s">
        <v>277</v>
      </c>
      <c r="B164" s="20" t="s">
        <v>83</v>
      </c>
      <c r="C164" s="20" t="s">
        <v>74</v>
      </c>
      <c r="D164" s="19" t="s">
        <v>68</v>
      </c>
      <c r="E164" s="21">
        <v>7</v>
      </c>
      <c r="F164" s="22">
        <v>45379</v>
      </c>
      <c r="G164" s="22">
        <v>45429</v>
      </c>
      <c r="H164" s="23">
        <v>50</v>
      </c>
      <c r="I164" s="24">
        <v>300</v>
      </c>
      <c r="J164" s="19" t="s">
        <v>24</v>
      </c>
      <c r="K164" s="23">
        <f>IF(tbl_tasks[[#This Row],[Status]]="Planned",tbl_tasks[[#This Row],[Duration]],NA())</f>
        <v>50</v>
      </c>
      <c r="L164" s="19"/>
    </row>
    <row r="165" spans="1:12" x14ac:dyDescent="0.3">
      <c r="A165" s="19" t="s">
        <v>278</v>
      </c>
      <c r="B165" s="20" t="s">
        <v>83</v>
      </c>
      <c r="C165" s="20" t="s">
        <v>74</v>
      </c>
      <c r="D165" s="19" t="s">
        <v>66</v>
      </c>
      <c r="E165" s="21">
        <v>8</v>
      </c>
      <c r="F165" s="22">
        <v>45429</v>
      </c>
      <c r="G165" s="22">
        <v>45479</v>
      </c>
      <c r="H165" s="23">
        <v>50</v>
      </c>
      <c r="I165" s="24">
        <v>350</v>
      </c>
      <c r="J165" s="19" t="s">
        <v>24</v>
      </c>
      <c r="K165" s="23">
        <f>IF(tbl_tasks[[#This Row],[Status]]="Planned",tbl_tasks[[#This Row],[Duration]],NA())</f>
        <v>50</v>
      </c>
      <c r="L165" s="19"/>
    </row>
    <row r="166" spans="1:12" x14ac:dyDescent="0.3">
      <c r="A166" s="19" t="s">
        <v>279</v>
      </c>
      <c r="B166" s="20" t="s">
        <v>83</v>
      </c>
      <c r="C166" s="20" t="s">
        <v>74</v>
      </c>
      <c r="D166" s="19" t="s">
        <v>67</v>
      </c>
      <c r="E166" s="21">
        <v>9</v>
      </c>
      <c r="F166" s="22">
        <v>45479</v>
      </c>
      <c r="G166" s="22">
        <v>45529</v>
      </c>
      <c r="H166" s="23">
        <v>50</v>
      </c>
      <c r="I166" s="24">
        <v>400</v>
      </c>
      <c r="J166" s="19" t="s">
        <v>24</v>
      </c>
      <c r="K166" s="23">
        <f>IF(tbl_tasks[[#This Row],[Status]]="Planned",tbl_tasks[[#This Row],[Duration]],NA())</f>
        <v>50</v>
      </c>
      <c r="L166" s="19"/>
    </row>
    <row r="167" spans="1:12" x14ac:dyDescent="0.3">
      <c r="A167" s="19" t="s">
        <v>280</v>
      </c>
      <c r="B167" s="20" t="s">
        <v>83</v>
      </c>
      <c r="C167" s="20" t="s">
        <v>74</v>
      </c>
      <c r="D167" s="19" t="s">
        <v>35</v>
      </c>
      <c r="E167" s="21">
        <v>10</v>
      </c>
      <c r="F167" s="22">
        <v>45529</v>
      </c>
      <c r="G167" s="22">
        <v>45588</v>
      </c>
      <c r="H167" s="23">
        <v>59</v>
      </c>
      <c r="I167" s="24">
        <v>450</v>
      </c>
      <c r="J167" s="19" t="s">
        <v>24</v>
      </c>
      <c r="K167" s="23">
        <f>IF(tbl_tasks[[#This Row],[Status]]="Planned",tbl_tasks[[#This Row],[Duration]],NA())</f>
        <v>59</v>
      </c>
      <c r="L167" s="19"/>
    </row>
    <row r="168" spans="1:12" x14ac:dyDescent="0.3">
      <c r="A168" s="19" t="s">
        <v>281</v>
      </c>
      <c r="B168" s="20" t="s">
        <v>83</v>
      </c>
      <c r="C168" s="20" t="s">
        <v>17</v>
      </c>
      <c r="D168" s="19" t="s">
        <v>57</v>
      </c>
      <c r="E168" s="21">
        <v>11</v>
      </c>
      <c r="F168" s="22">
        <v>45588</v>
      </c>
      <c r="G168" s="22">
        <v>45634</v>
      </c>
      <c r="H168" s="23">
        <v>46</v>
      </c>
      <c r="I168" s="24">
        <v>509</v>
      </c>
      <c r="J168" s="19" t="s">
        <v>24</v>
      </c>
      <c r="K168" s="23">
        <f>IF(tbl_tasks[[#This Row],[Status]]="Planned",tbl_tasks[[#This Row],[Duration]],NA())</f>
        <v>46</v>
      </c>
      <c r="L168" s="19"/>
    </row>
    <row r="169" spans="1:12" x14ac:dyDescent="0.3">
      <c r="A169" s="19" t="s">
        <v>282</v>
      </c>
      <c r="B169" s="20" t="s">
        <v>83</v>
      </c>
      <c r="C169" s="20" t="s">
        <v>17</v>
      </c>
      <c r="D169" s="19" t="s">
        <v>65</v>
      </c>
      <c r="E169" s="21">
        <v>12</v>
      </c>
      <c r="F169" s="22">
        <v>45634</v>
      </c>
      <c r="G169" s="22">
        <v>45680</v>
      </c>
      <c r="H169" s="23">
        <v>46</v>
      </c>
      <c r="I169" s="24">
        <v>555</v>
      </c>
      <c r="J169" s="19" t="s">
        <v>24</v>
      </c>
      <c r="K169" s="23">
        <f>IF(tbl_tasks[[#This Row],[Status]]="Planned",tbl_tasks[[#This Row],[Duration]],NA())</f>
        <v>46</v>
      </c>
      <c r="L169" s="19"/>
    </row>
    <row r="170" spans="1:12" x14ac:dyDescent="0.3">
      <c r="A170" s="19" t="s">
        <v>283</v>
      </c>
      <c r="B170" s="20" t="s">
        <v>83</v>
      </c>
      <c r="C170" s="20" t="s">
        <v>17</v>
      </c>
      <c r="D170" s="19" t="s">
        <v>58</v>
      </c>
      <c r="E170" s="21">
        <v>13</v>
      </c>
      <c r="F170" s="22">
        <v>45680</v>
      </c>
      <c r="G170" s="22">
        <v>45726</v>
      </c>
      <c r="H170" s="23">
        <v>46</v>
      </c>
      <c r="I170" s="24">
        <v>601</v>
      </c>
      <c r="J170" s="19" t="s">
        <v>24</v>
      </c>
      <c r="K170" s="23">
        <f>IF(tbl_tasks[[#This Row],[Status]]="Planned",tbl_tasks[[#This Row],[Duration]],NA())</f>
        <v>46</v>
      </c>
      <c r="L170" s="19"/>
    </row>
    <row r="171" spans="1:12" x14ac:dyDescent="0.3">
      <c r="A171" s="19" t="s">
        <v>284</v>
      </c>
      <c r="B171" s="20" t="s">
        <v>83</v>
      </c>
      <c r="C171" s="20" t="s">
        <v>17</v>
      </c>
      <c r="D171" s="19" t="s">
        <v>103</v>
      </c>
      <c r="E171" s="21">
        <v>14</v>
      </c>
      <c r="F171" s="22">
        <v>45726</v>
      </c>
      <c r="G171" s="22">
        <v>45772</v>
      </c>
      <c r="H171" s="23">
        <v>46</v>
      </c>
      <c r="I171" s="24">
        <v>647</v>
      </c>
      <c r="J171" s="19" t="s">
        <v>24</v>
      </c>
      <c r="K171" s="23">
        <f>IF(tbl_tasks[[#This Row],[Status]]="Planned",tbl_tasks[[#This Row],[Duration]],NA())</f>
        <v>46</v>
      </c>
      <c r="L171" s="19"/>
    </row>
    <row r="172" spans="1:12" x14ac:dyDescent="0.3">
      <c r="A172" s="19" t="s">
        <v>285</v>
      </c>
      <c r="B172" s="20" t="s">
        <v>83</v>
      </c>
      <c r="C172" s="20" t="s">
        <v>17</v>
      </c>
      <c r="D172" s="19" t="s">
        <v>104</v>
      </c>
      <c r="E172" s="21">
        <v>15</v>
      </c>
      <c r="F172" s="22">
        <v>45772</v>
      </c>
      <c r="G172" s="22">
        <v>45819</v>
      </c>
      <c r="H172" s="23">
        <v>47</v>
      </c>
      <c r="I172" s="24">
        <v>693</v>
      </c>
      <c r="J172" s="19" t="s">
        <v>24</v>
      </c>
      <c r="K172" s="23">
        <f>IF(tbl_tasks[[#This Row],[Status]]="Planned",tbl_tasks[[#This Row],[Duration]],NA())</f>
        <v>47</v>
      </c>
      <c r="L172" s="19"/>
    </row>
    <row r="173" spans="1:12" x14ac:dyDescent="0.3">
      <c r="A173" s="19" t="s">
        <v>286</v>
      </c>
      <c r="B173" s="20" t="s">
        <v>83</v>
      </c>
      <c r="C173" s="20" t="s">
        <v>18</v>
      </c>
      <c r="D173" s="19" t="s">
        <v>57</v>
      </c>
      <c r="E173" s="21">
        <v>16</v>
      </c>
      <c r="F173" s="22">
        <v>45588</v>
      </c>
      <c r="G173" s="22">
        <v>45634</v>
      </c>
      <c r="H173" s="23">
        <v>46</v>
      </c>
      <c r="I173" s="24">
        <v>509</v>
      </c>
      <c r="J173" s="19" t="s">
        <v>24</v>
      </c>
      <c r="K173" s="23">
        <f>IF(tbl_tasks[[#This Row],[Status]]="Planned",tbl_tasks[[#This Row],[Duration]],NA())</f>
        <v>46</v>
      </c>
      <c r="L173" s="19"/>
    </row>
    <row r="174" spans="1:12" x14ac:dyDescent="0.3">
      <c r="A174" s="19" t="s">
        <v>287</v>
      </c>
      <c r="B174" s="20" t="s">
        <v>83</v>
      </c>
      <c r="C174" s="20" t="s">
        <v>18</v>
      </c>
      <c r="D174" s="19" t="s">
        <v>69</v>
      </c>
      <c r="E174" s="21">
        <v>17</v>
      </c>
      <c r="F174" s="22">
        <v>45634</v>
      </c>
      <c r="G174" s="22">
        <v>45680</v>
      </c>
      <c r="H174" s="23">
        <v>46</v>
      </c>
      <c r="I174" s="24">
        <v>555</v>
      </c>
      <c r="J174" s="19" t="s">
        <v>24</v>
      </c>
      <c r="K174" s="23">
        <f>IF(tbl_tasks[[#This Row],[Status]]="Planned",tbl_tasks[[#This Row],[Duration]],NA())</f>
        <v>46</v>
      </c>
      <c r="L174" s="19"/>
    </row>
    <row r="175" spans="1:12" x14ac:dyDescent="0.3">
      <c r="A175" s="19" t="s">
        <v>288</v>
      </c>
      <c r="B175" s="20" t="s">
        <v>83</v>
      </c>
      <c r="C175" s="20" t="s">
        <v>18</v>
      </c>
      <c r="D175" s="19" t="s">
        <v>70</v>
      </c>
      <c r="E175" s="21">
        <v>18</v>
      </c>
      <c r="F175" s="22">
        <v>45680</v>
      </c>
      <c r="G175" s="22">
        <v>45726</v>
      </c>
      <c r="H175" s="23">
        <v>46</v>
      </c>
      <c r="I175" s="24">
        <v>601</v>
      </c>
      <c r="J175" s="19" t="s">
        <v>24</v>
      </c>
      <c r="K175" s="23">
        <f>IF(tbl_tasks[[#This Row],[Status]]="Planned",tbl_tasks[[#This Row],[Duration]],NA())</f>
        <v>46</v>
      </c>
      <c r="L175" s="19"/>
    </row>
    <row r="176" spans="1:12" x14ac:dyDescent="0.3">
      <c r="A176" s="19" t="s">
        <v>289</v>
      </c>
      <c r="B176" s="20" t="s">
        <v>83</v>
      </c>
      <c r="C176" s="20" t="s">
        <v>18</v>
      </c>
      <c r="D176" s="19" t="s">
        <v>59</v>
      </c>
      <c r="E176" s="21">
        <v>19</v>
      </c>
      <c r="F176" s="22">
        <v>45726</v>
      </c>
      <c r="G176" s="22">
        <v>45772</v>
      </c>
      <c r="H176" s="23">
        <v>46</v>
      </c>
      <c r="I176" s="24">
        <v>647</v>
      </c>
      <c r="J176" s="19" t="s">
        <v>24</v>
      </c>
      <c r="K176" s="23">
        <f>IF(tbl_tasks[[#This Row],[Status]]="Planned",tbl_tasks[[#This Row],[Duration]],NA())</f>
        <v>46</v>
      </c>
      <c r="L176" s="19"/>
    </row>
    <row r="177" spans="1:12" x14ac:dyDescent="0.3">
      <c r="A177" s="19" t="s">
        <v>290</v>
      </c>
      <c r="B177" s="20" t="s">
        <v>83</v>
      </c>
      <c r="C177" s="20" t="s">
        <v>18</v>
      </c>
      <c r="D177" s="19" t="s">
        <v>105</v>
      </c>
      <c r="E177" s="21">
        <v>20</v>
      </c>
      <c r="F177" s="22">
        <v>45772</v>
      </c>
      <c r="G177" s="22">
        <v>45819</v>
      </c>
      <c r="H177" s="23">
        <v>47</v>
      </c>
      <c r="I177" s="24">
        <v>693</v>
      </c>
      <c r="J177" s="19" t="s">
        <v>24</v>
      </c>
      <c r="K177" s="23">
        <f>IF(tbl_tasks[[#This Row],[Status]]="Planned",tbl_tasks[[#This Row],[Duration]],NA())</f>
        <v>47</v>
      </c>
      <c r="L177" s="19"/>
    </row>
    <row r="178" spans="1:12" x14ac:dyDescent="0.3">
      <c r="A178" s="19" t="s">
        <v>291</v>
      </c>
      <c r="B178" s="20" t="s">
        <v>83</v>
      </c>
      <c r="C178" s="20" t="s">
        <v>19</v>
      </c>
      <c r="D178" s="19" t="s">
        <v>60</v>
      </c>
      <c r="E178" s="21">
        <v>21</v>
      </c>
      <c r="F178" s="22">
        <v>45588</v>
      </c>
      <c r="G178" s="22">
        <v>45634</v>
      </c>
      <c r="H178" s="23">
        <v>46</v>
      </c>
      <c r="I178" s="24">
        <v>509</v>
      </c>
      <c r="J178" s="19" t="s">
        <v>24</v>
      </c>
      <c r="K178" s="23">
        <f>IF(tbl_tasks[[#This Row],[Status]]="Planned",tbl_tasks[[#This Row],[Duration]],NA())</f>
        <v>46</v>
      </c>
      <c r="L178" s="19"/>
    </row>
    <row r="179" spans="1:12" x14ac:dyDescent="0.3">
      <c r="A179" s="19" t="s">
        <v>292</v>
      </c>
      <c r="B179" s="20" t="s">
        <v>83</v>
      </c>
      <c r="C179" s="20" t="s">
        <v>19</v>
      </c>
      <c r="D179" s="19" t="s">
        <v>73</v>
      </c>
      <c r="E179" s="21">
        <v>22</v>
      </c>
      <c r="F179" s="22">
        <v>45634</v>
      </c>
      <c r="G179" s="22">
        <v>45680</v>
      </c>
      <c r="H179" s="23">
        <v>46</v>
      </c>
      <c r="I179" s="24">
        <v>555</v>
      </c>
      <c r="J179" s="19" t="s">
        <v>24</v>
      </c>
      <c r="K179" s="23">
        <f>IF(tbl_tasks[[#This Row],[Status]]="Planned",tbl_tasks[[#This Row],[Duration]],NA())</f>
        <v>46</v>
      </c>
      <c r="L179" s="19"/>
    </row>
    <row r="180" spans="1:12" x14ac:dyDescent="0.3">
      <c r="A180" s="19" t="s">
        <v>293</v>
      </c>
      <c r="B180" s="20" t="s">
        <v>83</v>
      </c>
      <c r="C180" s="20" t="s">
        <v>19</v>
      </c>
      <c r="D180" s="19" t="s">
        <v>107</v>
      </c>
      <c r="E180" s="21">
        <v>23</v>
      </c>
      <c r="F180" s="22">
        <v>45680</v>
      </c>
      <c r="G180" s="22">
        <v>45726</v>
      </c>
      <c r="H180" s="23">
        <v>46</v>
      </c>
      <c r="I180" s="24">
        <v>601</v>
      </c>
      <c r="J180" s="19" t="s">
        <v>24</v>
      </c>
      <c r="K180" s="23">
        <f>IF(tbl_tasks[[#This Row],[Status]]="Planned",tbl_tasks[[#This Row],[Duration]],NA())</f>
        <v>46</v>
      </c>
      <c r="L180" s="19"/>
    </row>
    <row r="181" spans="1:12" x14ac:dyDescent="0.3">
      <c r="A181" s="19" t="s">
        <v>294</v>
      </c>
      <c r="B181" s="20" t="s">
        <v>83</v>
      </c>
      <c r="C181" s="20" t="s">
        <v>19</v>
      </c>
      <c r="D181" s="19" t="s">
        <v>108</v>
      </c>
      <c r="E181" s="21">
        <v>24</v>
      </c>
      <c r="F181" s="22">
        <v>45726</v>
      </c>
      <c r="G181" s="22">
        <v>45772</v>
      </c>
      <c r="H181" s="23">
        <v>46</v>
      </c>
      <c r="I181" s="24">
        <v>647</v>
      </c>
      <c r="J181" s="19" t="s">
        <v>24</v>
      </c>
      <c r="K181" s="23">
        <f>IF(tbl_tasks[[#This Row],[Status]]="Planned",tbl_tasks[[#This Row],[Duration]],NA())</f>
        <v>46</v>
      </c>
      <c r="L181" s="19"/>
    </row>
    <row r="182" spans="1:12" x14ac:dyDescent="0.3">
      <c r="A182" s="19" t="s">
        <v>295</v>
      </c>
      <c r="B182" s="20" t="s">
        <v>83</v>
      </c>
      <c r="C182" s="20" t="s">
        <v>19</v>
      </c>
      <c r="D182" s="19" t="s">
        <v>109</v>
      </c>
      <c r="E182" s="21">
        <v>25</v>
      </c>
      <c r="F182" s="22">
        <v>45772</v>
      </c>
      <c r="G182" s="22">
        <v>45819</v>
      </c>
      <c r="H182" s="23">
        <v>47</v>
      </c>
      <c r="I182" s="24">
        <v>693</v>
      </c>
      <c r="J182" s="19" t="s">
        <v>24</v>
      </c>
      <c r="K182" s="23">
        <f>IF(tbl_tasks[[#This Row],[Status]]="Planned",tbl_tasks[[#This Row],[Duration]],NA())</f>
        <v>47</v>
      </c>
      <c r="L182" s="19"/>
    </row>
    <row r="183" spans="1:12" x14ac:dyDescent="0.3">
      <c r="A183" s="19" t="s">
        <v>296</v>
      </c>
      <c r="B183" s="20" t="s">
        <v>83</v>
      </c>
      <c r="C183" s="20" t="s">
        <v>74</v>
      </c>
      <c r="D183" s="19" t="s">
        <v>102</v>
      </c>
      <c r="E183" s="21">
        <v>26</v>
      </c>
      <c r="F183" s="22">
        <v>45819</v>
      </c>
      <c r="G183" s="22">
        <v>45845</v>
      </c>
      <c r="H183" s="23">
        <v>26</v>
      </c>
      <c r="I183" s="24">
        <v>740</v>
      </c>
      <c r="J183" s="19" t="s">
        <v>24</v>
      </c>
      <c r="K183" s="23">
        <f>IF(tbl_tasks[[#This Row],[Status]]="Planned",tbl_tasks[[#This Row],[Duration]],NA())</f>
        <v>26</v>
      </c>
      <c r="L183" s="19"/>
    </row>
    <row r="184" spans="1:12" x14ac:dyDescent="0.3">
      <c r="A184" s="19" t="s">
        <v>297</v>
      </c>
      <c r="B184" s="20" t="s">
        <v>83</v>
      </c>
      <c r="C184" s="20" t="s">
        <v>74</v>
      </c>
      <c r="D184" s="19" t="s">
        <v>36</v>
      </c>
      <c r="E184" s="21">
        <v>27</v>
      </c>
      <c r="F184" s="22">
        <v>45845</v>
      </c>
      <c r="G184" s="22">
        <v>45871</v>
      </c>
      <c r="H184" s="23">
        <v>26</v>
      </c>
      <c r="I184" s="24">
        <v>766</v>
      </c>
      <c r="J184" s="19" t="s">
        <v>24</v>
      </c>
      <c r="K184" s="23">
        <f>IF(tbl_tasks[[#This Row],[Status]]="Planned",tbl_tasks[[#This Row],[Duration]],NA())</f>
        <v>26</v>
      </c>
      <c r="L184" s="19"/>
    </row>
    <row r="185" spans="1:12" x14ac:dyDescent="0.3">
      <c r="A185" s="19" t="s">
        <v>298</v>
      </c>
      <c r="B185" s="20" t="s">
        <v>83</v>
      </c>
      <c r="C185" s="20" t="s">
        <v>74</v>
      </c>
      <c r="D185" s="19" t="s">
        <v>61</v>
      </c>
      <c r="E185" s="21">
        <v>28</v>
      </c>
      <c r="F185" s="22">
        <v>45871</v>
      </c>
      <c r="G185" s="22">
        <v>45897</v>
      </c>
      <c r="H185" s="23">
        <v>26</v>
      </c>
      <c r="I185" s="24">
        <v>792</v>
      </c>
      <c r="J185" s="19" t="s">
        <v>24</v>
      </c>
      <c r="K185" s="23">
        <f>IF(tbl_tasks[[#This Row],[Status]]="Planned",tbl_tasks[[#This Row],[Duration]],NA())</f>
        <v>26</v>
      </c>
      <c r="L185" s="19"/>
    </row>
    <row r="186" spans="1:12" x14ac:dyDescent="0.3">
      <c r="A186" s="19" t="s">
        <v>299</v>
      </c>
      <c r="B186" s="20" t="s">
        <v>83</v>
      </c>
      <c r="C186" s="20" t="s">
        <v>74</v>
      </c>
      <c r="D186" s="19" t="s">
        <v>71</v>
      </c>
      <c r="E186" s="21">
        <v>29</v>
      </c>
      <c r="F186" s="22">
        <v>45897</v>
      </c>
      <c r="G186" s="22">
        <v>45923</v>
      </c>
      <c r="H186" s="23">
        <v>26</v>
      </c>
      <c r="I186" s="24">
        <v>818</v>
      </c>
      <c r="J186" s="19" t="s">
        <v>24</v>
      </c>
      <c r="K186" s="23">
        <f>IF(tbl_tasks[[#This Row],[Status]]="Planned",tbl_tasks[[#This Row],[Duration]],NA())</f>
        <v>26</v>
      </c>
      <c r="L186" s="19"/>
    </row>
    <row r="187" spans="1:12" x14ac:dyDescent="0.3">
      <c r="A187" s="19" t="s">
        <v>300</v>
      </c>
      <c r="B187" s="20" t="s">
        <v>83</v>
      </c>
      <c r="C187" s="20" t="s">
        <v>74</v>
      </c>
      <c r="D187" s="19" t="s">
        <v>72</v>
      </c>
      <c r="E187" s="21">
        <v>30</v>
      </c>
      <c r="F187" s="22">
        <v>45923</v>
      </c>
      <c r="G187" s="22">
        <v>45949</v>
      </c>
      <c r="H187" s="23">
        <v>26</v>
      </c>
      <c r="I187" s="24">
        <v>844</v>
      </c>
      <c r="J187" s="19" t="s">
        <v>24</v>
      </c>
      <c r="K187" s="23">
        <f>IF(tbl_tasks[[#This Row],[Status]]="Planned",tbl_tasks[[#This Row],[Duration]],NA())</f>
        <v>26</v>
      </c>
      <c r="L187" s="19"/>
    </row>
    <row r="188" spans="1:12" x14ac:dyDescent="0.3">
      <c r="A188" s="19" t="s">
        <v>301</v>
      </c>
      <c r="B188" s="20" t="s">
        <v>83</v>
      </c>
      <c r="C188" s="20" t="s">
        <v>74</v>
      </c>
      <c r="D188" s="19" t="s">
        <v>106</v>
      </c>
      <c r="E188" s="21">
        <v>31</v>
      </c>
      <c r="F188" s="22">
        <v>45949</v>
      </c>
      <c r="G188" s="22">
        <v>45975</v>
      </c>
      <c r="H188" s="23">
        <v>26</v>
      </c>
      <c r="I188" s="24">
        <v>870</v>
      </c>
      <c r="J188" s="19" t="s">
        <v>24</v>
      </c>
      <c r="K188" s="23">
        <f>IF(tbl_tasks[[#This Row],[Status]]="Planned",tbl_tasks[[#This Row],[Duration]],NA())</f>
        <v>26</v>
      </c>
      <c r="L188" s="19"/>
    </row>
    <row r="189" spans="1:12" x14ac:dyDescent="0.3">
      <c r="A189" s="19" t="s">
        <v>302</v>
      </c>
      <c r="B189" s="20" t="s">
        <v>83</v>
      </c>
      <c r="C189" s="20" t="s">
        <v>74</v>
      </c>
      <c r="D189" s="19" t="s">
        <v>64</v>
      </c>
      <c r="E189" s="21">
        <v>32</v>
      </c>
      <c r="F189" s="22">
        <v>45975</v>
      </c>
      <c r="G189" s="22">
        <v>46006</v>
      </c>
      <c r="H189" s="23">
        <v>31</v>
      </c>
      <c r="I189" s="24">
        <v>896</v>
      </c>
      <c r="J189" s="19" t="s">
        <v>24</v>
      </c>
      <c r="K189" s="23">
        <f>IF(tbl_tasks[[#This Row],[Status]]="Planned",tbl_tasks[[#This Row],[Duration]],NA())</f>
        <v>31</v>
      </c>
      <c r="L189" s="19"/>
    </row>
    <row r="190" spans="1:12" x14ac:dyDescent="0.3">
      <c r="A190" s="19" t="s">
        <v>303</v>
      </c>
      <c r="B190" s="20" t="s">
        <v>84</v>
      </c>
      <c r="C190" s="20" t="s">
        <v>74</v>
      </c>
      <c r="D190" s="19" t="s">
        <v>56</v>
      </c>
      <c r="E190" s="20">
        <v>1</v>
      </c>
      <c r="F190" s="22">
        <v>45315</v>
      </c>
      <c r="G190" s="22">
        <v>45349</v>
      </c>
      <c r="H190" s="23">
        <v>34</v>
      </c>
      <c r="I190" s="24">
        <v>0</v>
      </c>
      <c r="J190" s="19" t="s">
        <v>24</v>
      </c>
      <c r="K190" s="23">
        <f>IF(tbl_tasks[[#This Row],[Status]]="Planned",tbl_tasks[[#This Row],[Duration]],NA())</f>
        <v>34</v>
      </c>
      <c r="L190" s="19"/>
    </row>
    <row r="191" spans="1:12" x14ac:dyDescent="0.3">
      <c r="A191" s="19" t="s">
        <v>304</v>
      </c>
      <c r="B191" s="20" t="s">
        <v>84</v>
      </c>
      <c r="C191" s="20" t="s">
        <v>74</v>
      </c>
      <c r="D191" s="19" t="s">
        <v>62</v>
      </c>
      <c r="E191" s="20">
        <v>2</v>
      </c>
      <c r="F191" s="22">
        <v>45349</v>
      </c>
      <c r="G191" s="22">
        <v>45383</v>
      </c>
      <c r="H191" s="23">
        <v>34</v>
      </c>
      <c r="I191" s="24">
        <v>34</v>
      </c>
      <c r="J191" s="19" t="s">
        <v>24</v>
      </c>
      <c r="K191" s="23">
        <f>IF(tbl_tasks[[#This Row],[Status]]="Planned",tbl_tasks[[#This Row],[Duration]],NA())</f>
        <v>34</v>
      </c>
      <c r="L191" s="19"/>
    </row>
    <row r="192" spans="1:12" x14ac:dyDescent="0.3">
      <c r="A192" s="19" t="s">
        <v>305</v>
      </c>
      <c r="B192" s="20" t="s">
        <v>84</v>
      </c>
      <c r="C192" s="20" t="s">
        <v>74</v>
      </c>
      <c r="D192" s="19" t="s">
        <v>63</v>
      </c>
      <c r="E192" s="20">
        <v>3</v>
      </c>
      <c r="F192" s="22">
        <v>45383</v>
      </c>
      <c r="G192" s="22">
        <v>45417</v>
      </c>
      <c r="H192" s="23">
        <v>34</v>
      </c>
      <c r="I192" s="24">
        <v>68</v>
      </c>
      <c r="J192" s="19" t="s">
        <v>24</v>
      </c>
      <c r="K192" s="23">
        <f>IF(tbl_tasks[[#This Row],[Status]]="Planned",tbl_tasks[[#This Row],[Duration]],NA())</f>
        <v>34</v>
      </c>
      <c r="L192" s="19"/>
    </row>
    <row r="193" spans="1:12" x14ac:dyDescent="0.3">
      <c r="A193" s="19" t="s">
        <v>306</v>
      </c>
      <c r="B193" s="20" t="s">
        <v>84</v>
      </c>
      <c r="C193" s="20" t="s">
        <v>74</v>
      </c>
      <c r="D193" s="19" t="s">
        <v>438</v>
      </c>
      <c r="E193" s="20">
        <v>4</v>
      </c>
      <c r="F193" s="22">
        <v>45417</v>
      </c>
      <c r="G193" s="22">
        <v>45451</v>
      </c>
      <c r="H193" s="23">
        <v>34</v>
      </c>
      <c r="I193" s="24">
        <v>102</v>
      </c>
      <c r="J193" s="19" t="s">
        <v>24</v>
      </c>
      <c r="K193" s="23">
        <f>IF(tbl_tasks[[#This Row],[Status]]="Planned",tbl_tasks[[#This Row],[Duration]],NA())</f>
        <v>34</v>
      </c>
      <c r="L193" s="19"/>
    </row>
    <row r="194" spans="1:12" x14ac:dyDescent="0.3">
      <c r="A194" s="19" t="s">
        <v>307</v>
      </c>
      <c r="B194" s="20" t="s">
        <v>84</v>
      </c>
      <c r="C194" s="20" t="s">
        <v>74</v>
      </c>
      <c r="D194" s="19" t="s">
        <v>33</v>
      </c>
      <c r="E194" s="20">
        <v>5</v>
      </c>
      <c r="F194" s="22">
        <v>45451</v>
      </c>
      <c r="G194" s="22">
        <v>45485</v>
      </c>
      <c r="H194" s="23">
        <v>34</v>
      </c>
      <c r="I194" s="24">
        <v>136</v>
      </c>
      <c r="J194" s="19" t="s">
        <v>24</v>
      </c>
      <c r="K194" s="23">
        <f>IF(tbl_tasks[[#This Row],[Status]]="Planned",tbl_tasks[[#This Row],[Duration]],NA())</f>
        <v>34</v>
      </c>
      <c r="L194" s="19"/>
    </row>
    <row r="195" spans="1:12" x14ac:dyDescent="0.3">
      <c r="A195" s="19" t="s">
        <v>308</v>
      </c>
      <c r="B195" s="20" t="s">
        <v>84</v>
      </c>
      <c r="C195" s="20" t="s">
        <v>74</v>
      </c>
      <c r="D195" s="19" t="s">
        <v>34</v>
      </c>
      <c r="E195" s="20">
        <v>6</v>
      </c>
      <c r="F195" s="22">
        <v>45485</v>
      </c>
      <c r="G195" s="22">
        <v>45519</v>
      </c>
      <c r="H195" s="23">
        <v>34</v>
      </c>
      <c r="I195" s="24">
        <v>170</v>
      </c>
      <c r="J195" s="19" t="s">
        <v>24</v>
      </c>
      <c r="K195" s="23">
        <f>IF(tbl_tasks[[#This Row],[Status]]="Planned",tbl_tasks[[#This Row],[Duration]],NA())</f>
        <v>34</v>
      </c>
      <c r="L195" s="19"/>
    </row>
    <row r="196" spans="1:12" x14ac:dyDescent="0.3">
      <c r="A196" s="19" t="s">
        <v>309</v>
      </c>
      <c r="B196" s="20" t="s">
        <v>84</v>
      </c>
      <c r="C196" s="20" t="s">
        <v>74</v>
      </c>
      <c r="D196" s="19" t="s">
        <v>68</v>
      </c>
      <c r="E196" s="20">
        <v>7</v>
      </c>
      <c r="F196" s="22">
        <v>45519</v>
      </c>
      <c r="G196" s="22">
        <v>45553</v>
      </c>
      <c r="H196" s="23">
        <v>34</v>
      </c>
      <c r="I196" s="24">
        <v>204</v>
      </c>
      <c r="J196" s="19" t="s">
        <v>24</v>
      </c>
      <c r="K196" s="23">
        <f>IF(tbl_tasks[[#This Row],[Status]]="Planned",tbl_tasks[[#This Row],[Duration]],NA())</f>
        <v>34</v>
      </c>
      <c r="L196" s="19"/>
    </row>
    <row r="197" spans="1:12" x14ac:dyDescent="0.3">
      <c r="A197" s="19" t="s">
        <v>310</v>
      </c>
      <c r="B197" s="20" t="s">
        <v>84</v>
      </c>
      <c r="C197" s="20" t="s">
        <v>74</v>
      </c>
      <c r="D197" s="19" t="s">
        <v>66</v>
      </c>
      <c r="E197" s="20">
        <v>8</v>
      </c>
      <c r="F197" s="22">
        <v>45553</v>
      </c>
      <c r="G197" s="22">
        <v>45587</v>
      </c>
      <c r="H197" s="23">
        <v>34</v>
      </c>
      <c r="I197" s="24">
        <v>238</v>
      </c>
      <c r="J197" s="19" t="s">
        <v>24</v>
      </c>
      <c r="K197" s="23">
        <f>IF(tbl_tasks[[#This Row],[Status]]="Planned",tbl_tasks[[#This Row],[Duration]],NA())</f>
        <v>34</v>
      </c>
      <c r="L197" s="19"/>
    </row>
    <row r="198" spans="1:12" x14ac:dyDescent="0.3">
      <c r="A198" s="19" t="s">
        <v>311</v>
      </c>
      <c r="B198" s="20" t="s">
        <v>84</v>
      </c>
      <c r="C198" s="20" t="s">
        <v>74</v>
      </c>
      <c r="D198" s="19" t="s">
        <v>67</v>
      </c>
      <c r="E198" s="20">
        <v>9</v>
      </c>
      <c r="F198" s="22">
        <v>45587</v>
      </c>
      <c r="G198" s="22">
        <v>45621</v>
      </c>
      <c r="H198" s="23">
        <v>34</v>
      </c>
      <c r="I198" s="24">
        <v>272</v>
      </c>
      <c r="J198" s="19" t="s">
        <v>24</v>
      </c>
      <c r="K198" s="23">
        <f>IF(tbl_tasks[[#This Row],[Status]]="Planned",tbl_tasks[[#This Row],[Duration]],NA())</f>
        <v>34</v>
      </c>
      <c r="L198" s="19"/>
    </row>
    <row r="199" spans="1:12" x14ac:dyDescent="0.3">
      <c r="A199" s="19" t="s">
        <v>312</v>
      </c>
      <c r="B199" s="20" t="s">
        <v>84</v>
      </c>
      <c r="C199" s="20" t="s">
        <v>74</v>
      </c>
      <c r="D199" s="19" t="s">
        <v>35</v>
      </c>
      <c r="E199" s="20">
        <v>10</v>
      </c>
      <c r="F199" s="22">
        <v>45621</v>
      </c>
      <c r="G199" s="22">
        <v>45663</v>
      </c>
      <c r="H199" s="23">
        <v>42</v>
      </c>
      <c r="I199" s="24">
        <v>306</v>
      </c>
      <c r="J199" s="19" t="s">
        <v>24</v>
      </c>
      <c r="K199" s="23">
        <f>IF(tbl_tasks[[#This Row],[Status]]="Planned",tbl_tasks[[#This Row],[Duration]],NA())</f>
        <v>42</v>
      </c>
      <c r="L199" s="19"/>
    </row>
    <row r="200" spans="1:12" x14ac:dyDescent="0.3">
      <c r="A200" s="19" t="s">
        <v>313</v>
      </c>
      <c r="B200" s="20" t="s">
        <v>84</v>
      </c>
      <c r="C200" s="20" t="s">
        <v>18</v>
      </c>
      <c r="D200" s="19" t="s">
        <v>57</v>
      </c>
      <c r="E200" s="20">
        <v>11</v>
      </c>
      <c r="F200" s="22">
        <v>45663</v>
      </c>
      <c r="G200" s="22">
        <v>45694</v>
      </c>
      <c r="H200" s="23">
        <v>31</v>
      </c>
      <c r="I200" s="24">
        <v>348</v>
      </c>
      <c r="J200" s="19" t="s">
        <v>24</v>
      </c>
      <c r="K200" s="23">
        <f>IF(tbl_tasks[[#This Row],[Status]]="Planned",tbl_tasks[[#This Row],[Duration]],NA())</f>
        <v>31</v>
      </c>
      <c r="L200" s="19"/>
    </row>
    <row r="201" spans="1:12" x14ac:dyDescent="0.3">
      <c r="A201" s="19" t="s">
        <v>314</v>
      </c>
      <c r="B201" s="20" t="s">
        <v>84</v>
      </c>
      <c r="C201" s="20" t="s">
        <v>18</v>
      </c>
      <c r="D201" s="19" t="s">
        <v>69</v>
      </c>
      <c r="E201" s="20">
        <v>12</v>
      </c>
      <c r="F201" s="22">
        <v>45694</v>
      </c>
      <c r="G201" s="22">
        <v>45725</v>
      </c>
      <c r="H201" s="23">
        <v>31</v>
      </c>
      <c r="I201" s="24">
        <v>379</v>
      </c>
      <c r="J201" s="19" t="s">
        <v>24</v>
      </c>
      <c r="K201" s="23">
        <f>IF(tbl_tasks[[#This Row],[Status]]="Planned",tbl_tasks[[#This Row],[Duration]],NA())</f>
        <v>31</v>
      </c>
      <c r="L201" s="19"/>
    </row>
    <row r="202" spans="1:12" x14ac:dyDescent="0.3">
      <c r="A202" s="19" t="s">
        <v>315</v>
      </c>
      <c r="B202" s="20" t="s">
        <v>84</v>
      </c>
      <c r="C202" s="20" t="s">
        <v>18</v>
      </c>
      <c r="D202" s="19" t="s">
        <v>70</v>
      </c>
      <c r="E202" s="20">
        <v>13</v>
      </c>
      <c r="F202" s="22">
        <v>45725</v>
      </c>
      <c r="G202" s="22">
        <v>45756</v>
      </c>
      <c r="H202" s="23">
        <v>31</v>
      </c>
      <c r="I202" s="24">
        <v>410</v>
      </c>
      <c r="J202" s="19" t="s">
        <v>24</v>
      </c>
      <c r="K202" s="23">
        <f>IF(tbl_tasks[[#This Row],[Status]]="Planned",tbl_tasks[[#This Row],[Duration]],NA())</f>
        <v>31</v>
      </c>
      <c r="L202" s="19"/>
    </row>
    <row r="203" spans="1:12" x14ac:dyDescent="0.3">
      <c r="A203" s="19" t="s">
        <v>316</v>
      </c>
      <c r="B203" s="20" t="s">
        <v>84</v>
      </c>
      <c r="C203" s="20" t="s">
        <v>18</v>
      </c>
      <c r="D203" s="19" t="s">
        <v>59</v>
      </c>
      <c r="E203" s="20">
        <v>14</v>
      </c>
      <c r="F203" s="22">
        <v>45756</v>
      </c>
      <c r="G203" s="22">
        <v>45787</v>
      </c>
      <c r="H203" s="23">
        <v>31</v>
      </c>
      <c r="I203" s="24">
        <v>441</v>
      </c>
      <c r="J203" s="19" t="s">
        <v>24</v>
      </c>
      <c r="K203" s="23">
        <f>IF(tbl_tasks[[#This Row],[Status]]="Planned",tbl_tasks[[#This Row],[Duration]],NA())</f>
        <v>31</v>
      </c>
      <c r="L203" s="19"/>
    </row>
    <row r="204" spans="1:12" x14ac:dyDescent="0.3">
      <c r="A204" s="19" t="s">
        <v>317</v>
      </c>
      <c r="B204" s="20" t="s">
        <v>84</v>
      </c>
      <c r="C204" s="20" t="s">
        <v>18</v>
      </c>
      <c r="D204" s="19" t="s">
        <v>105</v>
      </c>
      <c r="E204" s="20">
        <v>15</v>
      </c>
      <c r="F204" s="22">
        <v>45787</v>
      </c>
      <c r="G204" s="22">
        <v>45821</v>
      </c>
      <c r="H204" s="23">
        <v>34</v>
      </c>
      <c r="I204" s="24">
        <v>472</v>
      </c>
      <c r="J204" s="19" t="s">
        <v>24</v>
      </c>
      <c r="K204" s="23">
        <f>IF(tbl_tasks[[#This Row],[Status]]="Planned",tbl_tasks[[#This Row],[Duration]],NA())</f>
        <v>34</v>
      </c>
      <c r="L204" s="19"/>
    </row>
    <row r="205" spans="1:12" x14ac:dyDescent="0.3">
      <c r="A205" s="19" t="s">
        <v>318</v>
      </c>
      <c r="B205" s="20" t="s">
        <v>84</v>
      </c>
      <c r="C205" s="20" t="s">
        <v>74</v>
      </c>
      <c r="D205" s="19" t="s">
        <v>102</v>
      </c>
      <c r="E205" s="20">
        <v>16</v>
      </c>
      <c r="F205" s="22">
        <v>45821</v>
      </c>
      <c r="G205" s="22">
        <v>45839</v>
      </c>
      <c r="H205" s="23">
        <v>18</v>
      </c>
      <c r="I205" s="24">
        <v>506</v>
      </c>
      <c r="J205" s="19" t="s">
        <v>24</v>
      </c>
      <c r="K205" s="23">
        <f>IF(tbl_tasks[[#This Row],[Status]]="Planned",tbl_tasks[[#This Row],[Duration]],NA())</f>
        <v>18</v>
      </c>
      <c r="L205" s="19"/>
    </row>
    <row r="206" spans="1:12" x14ac:dyDescent="0.3">
      <c r="A206" s="19" t="s">
        <v>319</v>
      </c>
      <c r="B206" s="20" t="s">
        <v>84</v>
      </c>
      <c r="C206" s="20" t="s">
        <v>74</v>
      </c>
      <c r="D206" s="19" t="s">
        <v>36</v>
      </c>
      <c r="E206" s="20">
        <v>17</v>
      </c>
      <c r="F206" s="22">
        <v>45839</v>
      </c>
      <c r="G206" s="22">
        <v>45857</v>
      </c>
      <c r="H206" s="23">
        <v>18</v>
      </c>
      <c r="I206" s="24">
        <v>524</v>
      </c>
      <c r="J206" s="19" t="s">
        <v>24</v>
      </c>
      <c r="K206" s="23">
        <f>IF(tbl_tasks[[#This Row],[Status]]="Planned",tbl_tasks[[#This Row],[Duration]],NA())</f>
        <v>18</v>
      </c>
      <c r="L206" s="19"/>
    </row>
    <row r="207" spans="1:12" x14ac:dyDescent="0.3">
      <c r="A207" s="19" t="s">
        <v>320</v>
      </c>
      <c r="B207" s="20" t="s">
        <v>84</v>
      </c>
      <c r="C207" s="20" t="s">
        <v>74</v>
      </c>
      <c r="D207" s="19" t="s">
        <v>61</v>
      </c>
      <c r="E207" s="20">
        <v>18</v>
      </c>
      <c r="F207" s="22">
        <v>45857</v>
      </c>
      <c r="G207" s="22">
        <v>45875</v>
      </c>
      <c r="H207" s="23">
        <v>18</v>
      </c>
      <c r="I207" s="24">
        <v>542</v>
      </c>
      <c r="J207" s="19" t="s">
        <v>24</v>
      </c>
      <c r="K207" s="23">
        <f>IF(tbl_tasks[[#This Row],[Status]]="Planned",tbl_tasks[[#This Row],[Duration]],NA())</f>
        <v>18</v>
      </c>
      <c r="L207" s="19"/>
    </row>
    <row r="208" spans="1:12" x14ac:dyDescent="0.3">
      <c r="A208" s="19" t="s">
        <v>321</v>
      </c>
      <c r="B208" s="20" t="s">
        <v>84</v>
      </c>
      <c r="C208" s="20" t="s">
        <v>74</v>
      </c>
      <c r="D208" s="19" t="s">
        <v>71</v>
      </c>
      <c r="E208" s="20">
        <v>19</v>
      </c>
      <c r="F208" s="22">
        <v>45875</v>
      </c>
      <c r="G208" s="22">
        <v>45893</v>
      </c>
      <c r="H208" s="23">
        <v>18</v>
      </c>
      <c r="I208" s="24">
        <v>560</v>
      </c>
      <c r="J208" s="19" t="s">
        <v>24</v>
      </c>
      <c r="K208" s="23">
        <f>IF(tbl_tasks[[#This Row],[Status]]="Planned",tbl_tasks[[#This Row],[Duration]],NA())</f>
        <v>18</v>
      </c>
      <c r="L208" s="19"/>
    </row>
    <row r="209" spans="1:12" x14ac:dyDescent="0.3">
      <c r="A209" s="19" t="s">
        <v>322</v>
      </c>
      <c r="B209" s="20" t="s">
        <v>84</v>
      </c>
      <c r="C209" s="20" t="s">
        <v>74</v>
      </c>
      <c r="D209" s="19" t="s">
        <v>72</v>
      </c>
      <c r="E209" s="20">
        <v>20</v>
      </c>
      <c r="F209" s="22">
        <v>45893</v>
      </c>
      <c r="G209" s="22">
        <v>45911</v>
      </c>
      <c r="H209" s="23">
        <v>18</v>
      </c>
      <c r="I209" s="24">
        <v>578</v>
      </c>
      <c r="J209" s="19" t="s">
        <v>24</v>
      </c>
      <c r="K209" s="23">
        <f>IF(tbl_tasks[[#This Row],[Status]]="Planned",tbl_tasks[[#This Row],[Duration]],NA())</f>
        <v>18</v>
      </c>
      <c r="L209" s="19"/>
    </row>
    <row r="210" spans="1:12" x14ac:dyDescent="0.3">
      <c r="A210" s="19" t="s">
        <v>323</v>
      </c>
      <c r="B210" s="20" t="s">
        <v>84</v>
      </c>
      <c r="C210" s="20" t="s">
        <v>74</v>
      </c>
      <c r="D210" s="19" t="s">
        <v>106</v>
      </c>
      <c r="E210" s="20">
        <v>21</v>
      </c>
      <c r="F210" s="22">
        <v>45911</v>
      </c>
      <c r="G210" s="22">
        <v>45929</v>
      </c>
      <c r="H210" s="23">
        <v>18</v>
      </c>
      <c r="I210" s="24">
        <v>596</v>
      </c>
      <c r="J210" s="19" t="s">
        <v>24</v>
      </c>
      <c r="K210" s="23">
        <f>IF(tbl_tasks[[#This Row],[Status]]="Planned",tbl_tasks[[#This Row],[Duration]],NA())</f>
        <v>18</v>
      </c>
      <c r="L210" s="19"/>
    </row>
    <row r="211" spans="1:12" x14ac:dyDescent="0.3">
      <c r="A211" s="19" t="s">
        <v>324</v>
      </c>
      <c r="B211" s="20" t="s">
        <v>84</v>
      </c>
      <c r="C211" s="20" t="s">
        <v>74</v>
      </c>
      <c r="D211" s="19" t="s">
        <v>64</v>
      </c>
      <c r="E211" s="20">
        <v>22</v>
      </c>
      <c r="F211" s="22">
        <v>45929</v>
      </c>
      <c r="G211" s="22">
        <v>45949</v>
      </c>
      <c r="H211" s="23">
        <v>20</v>
      </c>
      <c r="I211" s="24">
        <v>614</v>
      </c>
      <c r="J211" s="19" t="s">
        <v>24</v>
      </c>
      <c r="K211" s="23">
        <f>IF(tbl_tasks[[#This Row],[Status]]="Planned",tbl_tasks[[#This Row],[Duration]],NA())</f>
        <v>20</v>
      </c>
      <c r="L211" s="19"/>
    </row>
    <row r="212" spans="1:12" x14ac:dyDescent="0.3">
      <c r="A212" s="19" t="s">
        <v>325</v>
      </c>
      <c r="B212" s="20" t="s">
        <v>85</v>
      </c>
      <c r="C212" s="20" t="s">
        <v>74</v>
      </c>
      <c r="D212" s="19" t="s">
        <v>56</v>
      </c>
      <c r="E212" s="20">
        <v>1</v>
      </c>
      <c r="F212" s="22">
        <v>45222</v>
      </c>
      <c r="G212" s="22">
        <v>45249</v>
      </c>
      <c r="H212" s="23">
        <v>27</v>
      </c>
      <c r="I212" s="24">
        <v>0</v>
      </c>
      <c r="J212" s="19" t="s">
        <v>24</v>
      </c>
      <c r="K212" s="23">
        <f>IF(tbl_tasks[[#This Row],[Status]]="Planned",tbl_tasks[[#This Row],[Duration]],NA())</f>
        <v>27</v>
      </c>
      <c r="L212" s="19"/>
    </row>
    <row r="213" spans="1:12" x14ac:dyDescent="0.3">
      <c r="A213" s="19" t="s">
        <v>326</v>
      </c>
      <c r="B213" s="20" t="s">
        <v>85</v>
      </c>
      <c r="C213" s="20" t="s">
        <v>74</v>
      </c>
      <c r="D213" s="19" t="s">
        <v>62</v>
      </c>
      <c r="E213" s="20">
        <v>2</v>
      </c>
      <c r="F213" s="22">
        <v>45249</v>
      </c>
      <c r="G213" s="22">
        <v>45276</v>
      </c>
      <c r="H213" s="23">
        <v>27</v>
      </c>
      <c r="I213" s="24">
        <v>27</v>
      </c>
      <c r="J213" s="19" t="s">
        <v>24</v>
      </c>
      <c r="K213" s="23">
        <f>IF(tbl_tasks[[#This Row],[Status]]="Planned",tbl_tasks[[#This Row],[Duration]],NA())</f>
        <v>27</v>
      </c>
      <c r="L213" s="19"/>
    </row>
    <row r="214" spans="1:12" x14ac:dyDescent="0.3">
      <c r="A214" s="19" t="s">
        <v>327</v>
      </c>
      <c r="B214" s="20" t="s">
        <v>85</v>
      </c>
      <c r="C214" s="20" t="s">
        <v>74</v>
      </c>
      <c r="D214" s="19" t="s">
        <v>63</v>
      </c>
      <c r="E214" s="20">
        <v>3</v>
      </c>
      <c r="F214" s="22">
        <v>45276</v>
      </c>
      <c r="G214" s="22">
        <v>45303</v>
      </c>
      <c r="H214" s="23">
        <v>27</v>
      </c>
      <c r="I214" s="24">
        <v>54</v>
      </c>
      <c r="J214" s="19" t="s">
        <v>24</v>
      </c>
      <c r="K214" s="23">
        <f>IF(tbl_tasks[[#This Row],[Status]]="Planned",tbl_tasks[[#This Row],[Duration]],NA())</f>
        <v>27</v>
      </c>
      <c r="L214" s="19"/>
    </row>
    <row r="215" spans="1:12" x14ac:dyDescent="0.3">
      <c r="A215" s="19" t="s">
        <v>328</v>
      </c>
      <c r="B215" s="20" t="s">
        <v>85</v>
      </c>
      <c r="C215" s="20" t="s">
        <v>74</v>
      </c>
      <c r="D215" s="19" t="s">
        <v>438</v>
      </c>
      <c r="E215" s="20">
        <v>4</v>
      </c>
      <c r="F215" s="22">
        <v>45303</v>
      </c>
      <c r="G215" s="22">
        <v>45330</v>
      </c>
      <c r="H215" s="23">
        <v>27</v>
      </c>
      <c r="I215" s="24">
        <v>81</v>
      </c>
      <c r="J215" s="19" t="s">
        <v>24</v>
      </c>
      <c r="K215" s="23">
        <f>IF(tbl_tasks[[#This Row],[Status]]="Planned",tbl_tasks[[#This Row],[Duration]],NA())</f>
        <v>27</v>
      </c>
      <c r="L215" s="19"/>
    </row>
    <row r="216" spans="1:12" x14ac:dyDescent="0.3">
      <c r="A216" s="19" t="s">
        <v>329</v>
      </c>
      <c r="B216" s="20" t="s">
        <v>85</v>
      </c>
      <c r="C216" s="20" t="s">
        <v>74</v>
      </c>
      <c r="D216" s="19" t="s">
        <v>33</v>
      </c>
      <c r="E216" s="20">
        <v>5</v>
      </c>
      <c r="F216" s="22">
        <v>45330</v>
      </c>
      <c r="G216" s="22">
        <v>45357</v>
      </c>
      <c r="H216" s="23">
        <v>27</v>
      </c>
      <c r="I216" s="24">
        <v>108</v>
      </c>
      <c r="J216" s="19" t="s">
        <v>24</v>
      </c>
      <c r="K216" s="23">
        <f>IF(tbl_tasks[[#This Row],[Status]]="Planned",tbl_tasks[[#This Row],[Duration]],NA())</f>
        <v>27</v>
      </c>
      <c r="L216" s="19"/>
    </row>
    <row r="217" spans="1:12" x14ac:dyDescent="0.3">
      <c r="A217" s="19" t="s">
        <v>330</v>
      </c>
      <c r="B217" s="20" t="s">
        <v>85</v>
      </c>
      <c r="C217" s="20" t="s">
        <v>74</v>
      </c>
      <c r="D217" s="19" t="s">
        <v>34</v>
      </c>
      <c r="E217" s="20">
        <v>6</v>
      </c>
      <c r="F217" s="22">
        <v>45357</v>
      </c>
      <c r="G217" s="22">
        <v>45384</v>
      </c>
      <c r="H217" s="23">
        <v>27</v>
      </c>
      <c r="I217" s="24">
        <v>135</v>
      </c>
      <c r="J217" s="19" t="s">
        <v>24</v>
      </c>
      <c r="K217" s="23">
        <f>IF(tbl_tasks[[#This Row],[Status]]="Planned",tbl_tasks[[#This Row],[Duration]],NA())</f>
        <v>27</v>
      </c>
      <c r="L217" s="19"/>
    </row>
    <row r="218" spans="1:12" x14ac:dyDescent="0.3">
      <c r="A218" s="19" t="s">
        <v>331</v>
      </c>
      <c r="B218" s="20" t="s">
        <v>85</v>
      </c>
      <c r="C218" s="20" t="s">
        <v>74</v>
      </c>
      <c r="D218" s="19" t="s">
        <v>68</v>
      </c>
      <c r="E218" s="20">
        <v>7</v>
      </c>
      <c r="F218" s="22">
        <v>45384</v>
      </c>
      <c r="G218" s="22">
        <v>45411</v>
      </c>
      <c r="H218" s="23">
        <v>27</v>
      </c>
      <c r="I218" s="24">
        <v>162</v>
      </c>
      <c r="J218" s="19" t="s">
        <v>24</v>
      </c>
      <c r="K218" s="23">
        <f>IF(tbl_tasks[[#This Row],[Status]]="Planned",tbl_tasks[[#This Row],[Duration]],NA())</f>
        <v>27</v>
      </c>
      <c r="L218" s="19"/>
    </row>
    <row r="219" spans="1:12" x14ac:dyDescent="0.3">
      <c r="A219" s="19" t="s">
        <v>332</v>
      </c>
      <c r="B219" s="20" t="s">
        <v>85</v>
      </c>
      <c r="C219" s="20" t="s">
        <v>74</v>
      </c>
      <c r="D219" s="19" t="s">
        <v>66</v>
      </c>
      <c r="E219" s="20">
        <v>8</v>
      </c>
      <c r="F219" s="22">
        <v>45411</v>
      </c>
      <c r="G219" s="22">
        <v>45438</v>
      </c>
      <c r="H219" s="23">
        <v>27</v>
      </c>
      <c r="I219" s="24">
        <v>189</v>
      </c>
      <c r="J219" s="19" t="s">
        <v>24</v>
      </c>
      <c r="K219" s="23">
        <f>IF(tbl_tasks[[#This Row],[Status]]="Planned",tbl_tasks[[#This Row],[Duration]],NA())</f>
        <v>27</v>
      </c>
      <c r="L219" s="19"/>
    </row>
    <row r="220" spans="1:12" x14ac:dyDescent="0.3">
      <c r="A220" s="19" t="s">
        <v>333</v>
      </c>
      <c r="B220" s="20" t="s">
        <v>85</v>
      </c>
      <c r="C220" s="20" t="s">
        <v>74</v>
      </c>
      <c r="D220" s="19" t="s">
        <v>67</v>
      </c>
      <c r="E220" s="20">
        <v>9</v>
      </c>
      <c r="F220" s="22">
        <v>45438</v>
      </c>
      <c r="G220" s="22">
        <v>45465</v>
      </c>
      <c r="H220" s="23">
        <v>27</v>
      </c>
      <c r="I220" s="24">
        <v>216</v>
      </c>
      <c r="J220" s="19" t="s">
        <v>24</v>
      </c>
      <c r="K220" s="23">
        <f>IF(tbl_tasks[[#This Row],[Status]]="Planned",tbl_tasks[[#This Row],[Duration]],NA())</f>
        <v>27</v>
      </c>
      <c r="L220" s="19"/>
    </row>
    <row r="221" spans="1:12" x14ac:dyDescent="0.3">
      <c r="A221" s="19" t="s">
        <v>334</v>
      </c>
      <c r="B221" s="20" t="s">
        <v>85</v>
      </c>
      <c r="C221" s="20" t="s">
        <v>74</v>
      </c>
      <c r="D221" s="19" t="s">
        <v>35</v>
      </c>
      <c r="E221" s="20">
        <v>10</v>
      </c>
      <c r="F221" s="22">
        <v>45465</v>
      </c>
      <c r="G221" s="22">
        <v>45499</v>
      </c>
      <c r="H221" s="23">
        <v>34</v>
      </c>
      <c r="I221" s="24">
        <v>243</v>
      </c>
      <c r="J221" s="19" t="s">
        <v>24</v>
      </c>
      <c r="K221" s="23">
        <f>IF(tbl_tasks[[#This Row],[Status]]="Planned",tbl_tasks[[#This Row],[Duration]],NA())</f>
        <v>34</v>
      </c>
      <c r="L221" s="19"/>
    </row>
    <row r="222" spans="1:12" x14ac:dyDescent="0.3">
      <c r="A222" s="19" t="s">
        <v>335</v>
      </c>
      <c r="B222" s="20" t="s">
        <v>85</v>
      </c>
      <c r="C222" s="20" t="s">
        <v>19</v>
      </c>
      <c r="D222" s="19" t="s">
        <v>60</v>
      </c>
      <c r="E222" s="20">
        <v>11</v>
      </c>
      <c r="F222" s="22">
        <v>45499</v>
      </c>
      <c r="G222" s="22">
        <v>45524</v>
      </c>
      <c r="H222" s="23">
        <v>25</v>
      </c>
      <c r="I222" s="24">
        <v>277</v>
      </c>
      <c r="J222" s="19" t="s">
        <v>24</v>
      </c>
      <c r="K222" s="23">
        <f>IF(tbl_tasks[[#This Row],[Status]]="Planned",tbl_tasks[[#This Row],[Duration]],NA())</f>
        <v>25</v>
      </c>
      <c r="L222" s="19"/>
    </row>
    <row r="223" spans="1:12" x14ac:dyDescent="0.3">
      <c r="A223" s="19" t="s">
        <v>336</v>
      </c>
      <c r="B223" s="20" t="s">
        <v>85</v>
      </c>
      <c r="C223" s="20" t="s">
        <v>19</v>
      </c>
      <c r="D223" s="19" t="s">
        <v>73</v>
      </c>
      <c r="E223" s="20">
        <v>12</v>
      </c>
      <c r="F223" s="22">
        <v>45524</v>
      </c>
      <c r="G223" s="22">
        <v>45549</v>
      </c>
      <c r="H223" s="23">
        <v>25</v>
      </c>
      <c r="I223" s="24">
        <v>302</v>
      </c>
      <c r="J223" s="19" t="s">
        <v>24</v>
      </c>
      <c r="K223" s="23">
        <f>IF(tbl_tasks[[#This Row],[Status]]="Planned",tbl_tasks[[#This Row],[Duration]],NA())</f>
        <v>25</v>
      </c>
      <c r="L223" s="19"/>
    </row>
    <row r="224" spans="1:12" x14ac:dyDescent="0.3">
      <c r="A224" s="19" t="s">
        <v>337</v>
      </c>
      <c r="B224" s="20" t="s">
        <v>85</v>
      </c>
      <c r="C224" s="20" t="s">
        <v>19</v>
      </c>
      <c r="D224" s="19" t="s">
        <v>107</v>
      </c>
      <c r="E224" s="20">
        <v>13</v>
      </c>
      <c r="F224" s="22">
        <v>45549</v>
      </c>
      <c r="G224" s="22">
        <v>45574</v>
      </c>
      <c r="H224" s="23">
        <v>25</v>
      </c>
      <c r="I224" s="24">
        <v>327</v>
      </c>
      <c r="J224" s="19" t="s">
        <v>24</v>
      </c>
      <c r="K224" s="23">
        <f>IF(tbl_tasks[[#This Row],[Status]]="Planned",tbl_tasks[[#This Row],[Duration]],NA())</f>
        <v>25</v>
      </c>
      <c r="L224" s="19"/>
    </row>
    <row r="225" spans="1:12" x14ac:dyDescent="0.3">
      <c r="A225" s="19" t="s">
        <v>338</v>
      </c>
      <c r="B225" s="20" t="s">
        <v>85</v>
      </c>
      <c r="C225" s="20" t="s">
        <v>19</v>
      </c>
      <c r="D225" s="19" t="s">
        <v>108</v>
      </c>
      <c r="E225" s="20">
        <v>14</v>
      </c>
      <c r="F225" s="22">
        <v>45574</v>
      </c>
      <c r="G225" s="22">
        <v>45599</v>
      </c>
      <c r="H225" s="23">
        <v>25</v>
      </c>
      <c r="I225" s="24">
        <v>352</v>
      </c>
      <c r="J225" s="19" t="s">
        <v>24</v>
      </c>
      <c r="K225" s="23">
        <f>IF(tbl_tasks[[#This Row],[Status]]="Planned",tbl_tasks[[#This Row],[Duration]],NA())</f>
        <v>25</v>
      </c>
      <c r="L225" s="19"/>
    </row>
    <row r="226" spans="1:12" x14ac:dyDescent="0.3">
      <c r="A226" s="19" t="s">
        <v>339</v>
      </c>
      <c r="B226" s="20" t="s">
        <v>85</v>
      </c>
      <c r="C226" s="20" t="s">
        <v>19</v>
      </c>
      <c r="D226" s="19" t="s">
        <v>109</v>
      </c>
      <c r="E226" s="20">
        <v>15</v>
      </c>
      <c r="F226" s="22">
        <v>45599</v>
      </c>
      <c r="G226" s="22">
        <v>45625</v>
      </c>
      <c r="H226" s="23">
        <v>26</v>
      </c>
      <c r="I226" s="24">
        <v>377</v>
      </c>
      <c r="J226" s="19" t="s">
        <v>24</v>
      </c>
      <c r="K226" s="23">
        <f>IF(tbl_tasks[[#This Row],[Status]]="Planned",tbl_tasks[[#This Row],[Duration]],NA())</f>
        <v>26</v>
      </c>
      <c r="L226" s="19"/>
    </row>
    <row r="227" spans="1:12" x14ac:dyDescent="0.3">
      <c r="A227" s="19" t="s">
        <v>340</v>
      </c>
      <c r="B227" s="20" t="s">
        <v>85</v>
      </c>
      <c r="C227" s="20" t="s">
        <v>74</v>
      </c>
      <c r="D227" s="19" t="s">
        <v>102</v>
      </c>
      <c r="E227" s="20">
        <v>16</v>
      </c>
      <c r="F227" s="22">
        <v>45625</v>
      </c>
      <c r="G227" s="22">
        <v>45639</v>
      </c>
      <c r="H227" s="23">
        <v>14</v>
      </c>
      <c r="I227" s="24">
        <v>403</v>
      </c>
      <c r="J227" s="19" t="s">
        <v>24</v>
      </c>
      <c r="K227" s="23">
        <f>IF(tbl_tasks[[#This Row],[Status]]="Planned",tbl_tasks[[#This Row],[Duration]],NA())</f>
        <v>14</v>
      </c>
      <c r="L227" s="19"/>
    </row>
    <row r="228" spans="1:12" x14ac:dyDescent="0.3">
      <c r="A228" s="19" t="s">
        <v>341</v>
      </c>
      <c r="B228" s="20" t="s">
        <v>85</v>
      </c>
      <c r="C228" s="20" t="s">
        <v>74</v>
      </c>
      <c r="D228" s="19" t="s">
        <v>36</v>
      </c>
      <c r="E228" s="20">
        <v>17</v>
      </c>
      <c r="F228" s="22">
        <v>45639</v>
      </c>
      <c r="G228" s="22">
        <v>45653</v>
      </c>
      <c r="H228" s="23">
        <v>14</v>
      </c>
      <c r="I228" s="24">
        <v>417</v>
      </c>
      <c r="J228" s="19" t="s">
        <v>24</v>
      </c>
      <c r="K228" s="23">
        <f>IF(tbl_tasks[[#This Row],[Status]]="Planned",tbl_tasks[[#This Row],[Duration]],NA())</f>
        <v>14</v>
      </c>
      <c r="L228" s="19"/>
    </row>
    <row r="229" spans="1:12" x14ac:dyDescent="0.3">
      <c r="A229" s="19" t="s">
        <v>342</v>
      </c>
      <c r="B229" s="20" t="s">
        <v>85</v>
      </c>
      <c r="C229" s="20" t="s">
        <v>74</v>
      </c>
      <c r="D229" s="19" t="s">
        <v>61</v>
      </c>
      <c r="E229" s="20">
        <v>18</v>
      </c>
      <c r="F229" s="22">
        <v>45653</v>
      </c>
      <c r="G229" s="22">
        <v>45667</v>
      </c>
      <c r="H229" s="23">
        <v>14</v>
      </c>
      <c r="I229" s="24">
        <v>431</v>
      </c>
      <c r="J229" s="19" t="s">
        <v>24</v>
      </c>
      <c r="K229" s="23">
        <f>IF(tbl_tasks[[#This Row],[Status]]="Planned",tbl_tasks[[#This Row],[Duration]],NA())</f>
        <v>14</v>
      </c>
      <c r="L229" s="19"/>
    </row>
    <row r="230" spans="1:12" x14ac:dyDescent="0.3">
      <c r="A230" s="19" t="s">
        <v>343</v>
      </c>
      <c r="B230" s="20" t="s">
        <v>85</v>
      </c>
      <c r="C230" s="20" t="s">
        <v>74</v>
      </c>
      <c r="D230" s="19" t="s">
        <v>71</v>
      </c>
      <c r="E230" s="20">
        <v>19</v>
      </c>
      <c r="F230" s="22">
        <v>45667</v>
      </c>
      <c r="G230" s="22">
        <v>45681</v>
      </c>
      <c r="H230" s="23">
        <v>14</v>
      </c>
      <c r="I230" s="24">
        <v>445</v>
      </c>
      <c r="J230" s="19" t="s">
        <v>24</v>
      </c>
      <c r="K230" s="23">
        <f>IF(tbl_tasks[[#This Row],[Status]]="Planned",tbl_tasks[[#This Row],[Duration]],NA())</f>
        <v>14</v>
      </c>
      <c r="L230" s="19"/>
    </row>
    <row r="231" spans="1:12" x14ac:dyDescent="0.3">
      <c r="A231" s="19" t="s">
        <v>344</v>
      </c>
      <c r="B231" s="20" t="s">
        <v>85</v>
      </c>
      <c r="C231" s="20" t="s">
        <v>74</v>
      </c>
      <c r="D231" s="19" t="s">
        <v>72</v>
      </c>
      <c r="E231" s="20">
        <v>20</v>
      </c>
      <c r="F231" s="22">
        <v>45681</v>
      </c>
      <c r="G231" s="22">
        <v>45695</v>
      </c>
      <c r="H231" s="23">
        <v>14</v>
      </c>
      <c r="I231" s="24">
        <v>459</v>
      </c>
      <c r="J231" s="19" t="s">
        <v>24</v>
      </c>
      <c r="K231" s="23">
        <f>IF(tbl_tasks[[#This Row],[Status]]="Planned",tbl_tasks[[#This Row],[Duration]],NA())</f>
        <v>14</v>
      </c>
      <c r="L231" s="19"/>
    </row>
    <row r="232" spans="1:12" x14ac:dyDescent="0.3">
      <c r="A232" s="19" t="s">
        <v>345</v>
      </c>
      <c r="B232" s="20" t="s">
        <v>85</v>
      </c>
      <c r="C232" s="20" t="s">
        <v>74</v>
      </c>
      <c r="D232" s="19" t="s">
        <v>106</v>
      </c>
      <c r="E232" s="20">
        <v>21</v>
      </c>
      <c r="F232" s="22">
        <v>45695</v>
      </c>
      <c r="G232" s="22">
        <v>45709</v>
      </c>
      <c r="H232" s="23">
        <v>14</v>
      </c>
      <c r="I232" s="24">
        <v>473</v>
      </c>
      <c r="J232" s="19" t="s">
        <v>24</v>
      </c>
      <c r="K232" s="23">
        <f>IF(tbl_tasks[[#This Row],[Status]]="Planned",tbl_tasks[[#This Row],[Duration]],NA())</f>
        <v>14</v>
      </c>
      <c r="L232" s="19"/>
    </row>
    <row r="233" spans="1:12" x14ac:dyDescent="0.3">
      <c r="A233" s="19" t="s">
        <v>346</v>
      </c>
      <c r="B233" s="20" t="s">
        <v>85</v>
      </c>
      <c r="C233" s="20" t="s">
        <v>74</v>
      </c>
      <c r="D233" s="19" t="s">
        <v>64</v>
      </c>
      <c r="E233" s="20">
        <v>22</v>
      </c>
      <c r="F233" s="22">
        <v>45709</v>
      </c>
      <c r="G233" s="22">
        <v>45726</v>
      </c>
      <c r="H233" s="23">
        <v>17</v>
      </c>
      <c r="I233" s="24">
        <v>487</v>
      </c>
      <c r="J233" s="19" t="s">
        <v>24</v>
      </c>
      <c r="K233" s="23">
        <f>IF(tbl_tasks[[#This Row],[Status]]="Planned",tbl_tasks[[#This Row],[Duration]],NA())</f>
        <v>17</v>
      </c>
      <c r="L233" s="19"/>
    </row>
    <row r="234" spans="1:12" x14ac:dyDescent="0.3">
      <c r="A234" s="19" t="s">
        <v>347</v>
      </c>
      <c r="B234" s="20" t="s">
        <v>86</v>
      </c>
      <c r="C234" s="20" t="s">
        <v>74</v>
      </c>
      <c r="D234" s="19" t="s">
        <v>56</v>
      </c>
      <c r="E234" s="20">
        <v>1</v>
      </c>
      <c r="F234" s="22">
        <v>44948</v>
      </c>
      <c r="G234" s="22">
        <v>45010</v>
      </c>
      <c r="H234" s="23">
        <v>62</v>
      </c>
      <c r="I234" s="24">
        <v>0</v>
      </c>
      <c r="J234" s="19" t="s">
        <v>24</v>
      </c>
      <c r="K234" s="23">
        <f>IF(tbl_tasks[[#This Row],[Status]]="Planned",tbl_tasks[[#This Row],[Duration]],NA())</f>
        <v>62</v>
      </c>
      <c r="L234" s="19"/>
    </row>
    <row r="235" spans="1:12" x14ac:dyDescent="0.3">
      <c r="A235" s="19" t="s">
        <v>348</v>
      </c>
      <c r="B235" s="20" t="s">
        <v>86</v>
      </c>
      <c r="C235" s="20" t="s">
        <v>74</v>
      </c>
      <c r="D235" s="19" t="s">
        <v>62</v>
      </c>
      <c r="E235" s="20">
        <v>2</v>
      </c>
      <c r="F235" s="22">
        <v>45010</v>
      </c>
      <c r="G235" s="22">
        <v>45072</v>
      </c>
      <c r="H235" s="23">
        <v>62</v>
      </c>
      <c r="I235" s="24">
        <v>62</v>
      </c>
      <c r="J235" s="19" t="s">
        <v>24</v>
      </c>
      <c r="K235" s="23">
        <f>IF(tbl_tasks[[#This Row],[Status]]="Planned",tbl_tasks[[#This Row],[Duration]],NA())</f>
        <v>62</v>
      </c>
      <c r="L235" s="19"/>
    </row>
    <row r="236" spans="1:12" x14ac:dyDescent="0.3">
      <c r="A236" s="19" t="s">
        <v>349</v>
      </c>
      <c r="B236" s="20" t="s">
        <v>86</v>
      </c>
      <c r="C236" s="20" t="s">
        <v>74</v>
      </c>
      <c r="D236" s="19" t="s">
        <v>63</v>
      </c>
      <c r="E236" s="20">
        <v>3</v>
      </c>
      <c r="F236" s="22">
        <v>45072</v>
      </c>
      <c r="G236" s="22">
        <v>45134</v>
      </c>
      <c r="H236" s="23">
        <v>62</v>
      </c>
      <c r="I236" s="24">
        <v>124</v>
      </c>
      <c r="J236" s="19" t="s">
        <v>24</v>
      </c>
      <c r="K236" s="23">
        <f>IF(tbl_tasks[[#This Row],[Status]]="Planned",tbl_tasks[[#This Row],[Duration]],NA())</f>
        <v>62</v>
      </c>
      <c r="L236" s="19"/>
    </row>
    <row r="237" spans="1:12" x14ac:dyDescent="0.3">
      <c r="A237" s="19" t="s">
        <v>350</v>
      </c>
      <c r="B237" s="20" t="s">
        <v>86</v>
      </c>
      <c r="C237" s="20" t="s">
        <v>74</v>
      </c>
      <c r="D237" s="19" t="s">
        <v>438</v>
      </c>
      <c r="E237" s="20">
        <v>4</v>
      </c>
      <c r="F237" s="22">
        <v>45134</v>
      </c>
      <c r="G237" s="22">
        <v>45196</v>
      </c>
      <c r="H237" s="23">
        <v>62</v>
      </c>
      <c r="I237" s="24">
        <v>186</v>
      </c>
      <c r="J237" s="19" t="s">
        <v>24</v>
      </c>
      <c r="K237" s="23">
        <f>IF(tbl_tasks[[#This Row],[Status]]="Planned",tbl_tasks[[#This Row],[Duration]],NA())</f>
        <v>62</v>
      </c>
      <c r="L237" s="19"/>
    </row>
    <row r="238" spans="1:12" x14ac:dyDescent="0.3">
      <c r="A238" s="19" t="s">
        <v>351</v>
      </c>
      <c r="B238" s="20" t="s">
        <v>86</v>
      </c>
      <c r="C238" s="20" t="s">
        <v>74</v>
      </c>
      <c r="D238" s="19" t="s">
        <v>33</v>
      </c>
      <c r="E238" s="20">
        <v>5</v>
      </c>
      <c r="F238" s="22">
        <v>45196</v>
      </c>
      <c r="G238" s="22">
        <v>45258</v>
      </c>
      <c r="H238" s="23">
        <v>62</v>
      </c>
      <c r="I238" s="24">
        <v>248</v>
      </c>
      <c r="J238" s="19" t="s">
        <v>24</v>
      </c>
      <c r="K238" s="23">
        <f>IF(tbl_tasks[[#This Row],[Status]]="Planned",tbl_tasks[[#This Row],[Duration]],NA())</f>
        <v>62</v>
      </c>
      <c r="L238" s="19"/>
    </row>
    <row r="239" spans="1:12" x14ac:dyDescent="0.3">
      <c r="A239" s="19" t="s">
        <v>352</v>
      </c>
      <c r="B239" s="20" t="s">
        <v>86</v>
      </c>
      <c r="C239" s="20" t="s">
        <v>74</v>
      </c>
      <c r="D239" s="19" t="s">
        <v>34</v>
      </c>
      <c r="E239" s="20">
        <v>6</v>
      </c>
      <c r="F239" s="22">
        <v>45258</v>
      </c>
      <c r="G239" s="22">
        <v>45320</v>
      </c>
      <c r="H239" s="23">
        <v>62</v>
      </c>
      <c r="I239" s="24">
        <v>310</v>
      </c>
      <c r="J239" s="19" t="s">
        <v>24</v>
      </c>
      <c r="K239" s="23">
        <f>IF(tbl_tasks[[#This Row],[Status]]="Planned",tbl_tasks[[#This Row],[Duration]],NA())</f>
        <v>62</v>
      </c>
      <c r="L239" s="19"/>
    </row>
    <row r="240" spans="1:12" x14ac:dyDescent="0.3">
      <c r="A240" s="19" t="s">
        <v>353</v>
      </c>
      <c r="B240" s="20" t="s">
        <v>86</v>
      </c>
      <c r="C240" s="20" t="s">
        <v>74</v>
      </c>
      <c r="D240" s="19" t="s">
        <v>68</v>
      </c>
      <c r="E240" s="20">
        <v>7</v>
      </c>
      <c r="F240" s="22">
        <v>45320</v>
      </c>
      <c r="G240" s="22">
        <v>45382</v>
      </c>
      <c r="H240" s="23">
        <v>62</v>
      </c>
      <c r="I240" s="24">
        <v>372</v>
      </c>
      <c r="J240" s="19" t="s">
        <v>24</v>
      </c>
      <c r="K240" s="23">
        <f>IF(tbl_tasks[[#This Row],[Status]]="Planned",tbl_tasks[[#This Row],[Duration]],NA())</f>
        <v>62</v>
      </c>
      <c r="L240" s="19"/>
    </row>
    <row r="241" spans="1:12" x14ac:dyDescent="0.3">
      <c r="A241" s="19" t="s">
        <v>354</v>
      </c>
      <c r="B241" s="20" t="s">
        <v>86</v>
      </c>
      <c r="C241" s="20" t="s">
        <v>74</v>
      </c>
      <c r="D241" s="19" t="s">
        <v>66</v>
      </c>
      <c r="E241" s="20">
        <v>8</v>
      </c>
      <c r="F241" s="22">
        <v>45382</v>
      </c>
      <c r="G241" s="22">
        <v>45444</v>
      </c>
      <c r="H241" s="23">
        <v>62</v>
      </c>
      <c r="I241" s="24">
        <v>434</v>
      </c>
      <c r="J241" s="19" t="s">
        <v>24</v>
      </c>
      <c r="K241" s="23">
        <f>IF(tbl_tasks[[#This Row],[Status]]="Planned",tbl_tasks[[#This Row],[Duration]],NA())</f>
        <v>62</v>
      </c>
      <c r="L241" s="19"/>
    </row>
    <row r="242" spans="1:12" x14ac:dyDescent="0.3">
      <c r="A242" s="19" t="s">
        <v>355</v>
      </c>
      <c r="B242" s="20" t="s">
        <v>86</v>
      </c>
      <c r="C242" s="20" t="s">
        <v>74</v>
      </c>
      <c r="D242" s="19" t="s">
        <v>67</v>
      </c>
      <c r="E242" s="20">
        <v>9</v>
      </c>
      <c r="F242" s="22">
        <v>45444</v>
      </c>
      <c r="G242" s="22">
        <v>45506</v>
      </c>
      <c r="H242" s="23">
        <v>62</v>
      </c>
      <c r="I242" s="24">
        <v>496</v>
      </c>
      <c r="J242" s="19" t="s">
        <v>24</v>
      </c>
      <c r="K242" s="23">
        <f>IF(tbl_tasks[[#This Row],[Status]]="Planned",tbl_tasks[[#This Row],[Duration]],NA())</f>
        <v>62</v>
      </c>
      <c r="L242" s="19"/>
    </row>
    <row r="243" spans="1:12" x14ac:dyDescent="0.3">
      <c r="A243" s="19" t="s">
        <v>356</v>
      </c>
      <c r="B243" s="20" t="s">
        <v>86</v>
      </c>
      <c r="C243" s="20" t="s">
        <v>74</v>
      </c>
      <c r="D243" s="19" t="s">
        <v>35</v>
      </c>
      <c r="E243" s="20">
        <v>10</v>
      </c>
      <c r="F243" s="22">
        <v>45506</v>
      </c>
      <c r="G243" s="22">
        <v>45577</v>
      </c>
      <c r="H243" s="23">
        <v>71</v>
      </c>
      <c r="I243" s="24">
        <v>558</v>
      </c>
      <c r="J243" s="19" t="s">
        <v>24</v>
      </c>
      <c r="K243" s="23">
        <f>IF(tbl_tasks[[#This Row],[Status]]="Planned",tbl_tasks[[#This Row],[Duration]],NA())</f>
        <v>71</v>
      </c>
      <c r="L243" s="19"/>
    </row>
    <row r="244" spans="1:12" x14ac:dyDescent="0.3">
      <c r="A244" s="19" t="s">
        <v>357</v>
      </c>
      <c r="B244" s="20" t="s">
        <v>86</v>
      </c>
      <c r="C244" s="20" t="s">
        <v>17</v>
      </c>
      <c r="D244" s="19" t="s">
        <v>57</v>
      </c>
      <c r="E244" s="20">
        <v>11</v>
      </c>
      <c r="F244" s="22">
        <v>45577</v>
      </c>
      <c r="G244" s="22">
        <v>45634</v>
      </c>
      <c r="H244" s="23">
        <v>57</v>
      </c>
      <c r="I244" s="24">
        <v>629</v>
      </c>
      <c r="J244" s="19" t="s">
        <v>24</v>
      </c>
      <c r="K244" s="23">
        <f>IF(tbl_tasks[[#This Row],[Status]]="Planned",tbl_tasks[[#This Row],[Duration]],NA())</f>
        <v>57</v>
      </c>
      <c r="L244" s="19"/>
    </row>
    <row r="245" spans="1:12" x14ac:dyDescent="0.3">
      <c r="A245" s="19" t="s">
        <v>358</v>
      </c>
      <c r="B245" s="20" t="s">
        <v>86</v>
      </c>
      <c r="C245" s="20" t="s">
        <v>17</v>
      </c>
      <c r="D245" s="19" t="s">
        <v>65</v>
      </c>
      <c r="E245" s="20">
        <v>12</v>
      </c>
      <c r="F245" s="22">
        <v>45634</v>
      </c>
      <c r="G245" s="22">
        <v>45691</v>
      </c>
      <c r="H245" s="23">
        <v>57</v>
      </c>
      <c r="I245" s="24">
        <v>686</v>
      </c>
      <c r="J245" s="19" t="s">
        <v>24</v>
      </c>
      <c r="K245" s="23">
        <f>IF(tbl_tasks[[#This Row],[Status]]="Planned",tbl_tasks[[#This Row],[Duration]],NA())</f>
        <v>57</v>
      </c>
      <c r="L245" s="19"/>
    </row>
    <row r="246" spans="1:12" x14ac:dyDescent="0.3">
      <c r="A246" s="19" t="s">
        <v>359</v>
      </c>
      <c r="B246" s="20" t="s">
        <v>86</v>
      </c>
      <c r="C246" s="20" t="s">
        <v>17</v>
      </c>
      <c r="D246" s="19" t="s">
        <v>58</v>
      </c>
      <c r="E246" s="20">
        <v>13</v>
      </c>
      <c r="F246" s="22">
        <v>45691</v>
      </c>
      <c r="G246" s="22">
        <v>45748</v>
      </c>
      <c r="H246" s="23">
        <v>57</v>
      </c>
      <c r="I246" s="24">
        <v>743</v>
      </c>
      <c r="J246" s="19" t="s">
        <v>24</v>
      </c>
      <c r="K246" s="23">
        <f>IF(tbl_tasks[[#This Row],[Status]]="Planned",tbl_tasks[[#This Row],[Duration]],NA())</f>
        <v>57</v>
      </c>
      <c r="L246" s="19"/>
    </row>
    <row r="247" spans="1:12" x14ac:dyDescent="0.3">
      <c r="A247" s="19" t="s">
        <v>360</v>
      </c>
      <c r="B247" s="20" t="s">
        <v>86</v>
      </c>
      <c r="C247" s="20" t="s">
        <v>17</v>
      </c>
      <c r="D247" s="19" t="s">
        <v>103</v>
      </c>
      <c r="E247" s="20">
        <v>14</v>
      </c>
      <c r="F247" s="22">
        <v>45748</v>
      </c>
      <c r="G247" s="22">
        <v>45805</v>
      </c>
      <c r="H247" s="23">
        <v>57</v>
      </c>
      <c r="I247" s="24">
        <v>800</v>
      </c>
      <c r="J247" s="19" t="s">
        <v>24</v>
      </c>
      <c r="K247" s="23">
        <f>IF(tbl_tasks[[#This Row],[Status]]="Planned",tbl_tasks[[#This Row],[Duration]],NA())</f>
        <v>57</v>
      </c>
      <c r="L247" s="19"/>
    </row>
    <row r="248" spans="1:12" x14ac:dyDescent="0.3">
      <c r="A248" s="19" t="s">
        <v>361</v>
      </c>
      <c r="B248" s="20" t="s">
        <v>86</v>
      </c>
      <c r="C248" s="20" t="s">
        <v>17</v>
      </c>
      <c r="D248" s="19" t="s">
        <v>104</v>
      </c>
      <c r="E248" s="20">
        <v>15</v>
      </c>
      <c r="F248" s="22">
        <v>45805</v>
      </c>
      <c r="G248" s="22">
        <v>45863</v>
      </c>
      <c r="H248" s="23">
        <v>58</v>
      </c>
      <c r="I248" s="24">
        <v>857</v>
      </c>
      <c r="J248" s="19" t="s">
        <v>24</v>
      </c>
      <c r="K248" s="23">
        <f>IF(tbl_tasks[[#This Row],[Status]]="Planned",tbl_tasks[[#This Row],[Duration]],NA())</f>
        <v>58</v>
      </c>
      <c r="L248" s="19"/>
    </row>
    <row r="249" spans="1:12" x14ac:dyDescent="0.3">
      <c r="A249" s="19" t="s">
        <v>362</v>
      </c>
      <c r="B249" s="20" t="s">
        <v>86</v>
      </c>
      <c r="C249" s="20" t="s">
        <v>110</v>
      </c>
      <c r="D249" s="19" t="s">
        <v>111</v>
      </c>
      <c r="E249" s="20">
        <v>16</v>
      </c>
      <c r="F249" s="22">
        <v>45577</v>
      </c>
      <c r="G249" s="22">
        <v>45648</v>
      </c>
      <c r="H249" s="23">
        <v>71</v>
      </c>
      <c r="I249" s="24">
        <v>629</v>
      </c>
      <c r="J249" s="19" t="s">
        <v>24</v>
      </c>
      <c r="K249" s="23">
        <f>IF(tbl_tasks[[#This Row],[Status]]="Planned",tbl_tasks[[#This Row],[Duration]],NA())</f>
        <v>71</v>
      </c>
      <c r="L249" s="19"/>
    </row>
    <row r="250" spans="1:12" x14ac:dyDescent="0.3">
      <c r="A250" s="19" t="s">
        <v>363</v>
      </c>
      <c r="B250" s="20" t="s">
        <v>86</v>
      </c>
      <c r="C250" s="20" t="s">
        <v>110</v>
      </c>
      <c r="D250" s="19" t="s">
        <v>112</v>
      </c>
      <c r="E250" s="20">
        <v>17</v>
      </c>
      <c r="F250" s="22">
        <v>45648</v>
      </c>
      <c r="G250" s="22">
        <v>45719</v>
      </c>
      <c r="H250" s="23">
        <v>71</v>
      </c>
      <c r="I250" s="24">
        <v>700</v>
      </c>
      <c r="J250" s="19" t="s">
        <v>24</v>
      </c>
      <c r="K250" s="23">
        <f>IF(tbl_tasks[[#This Row],[Status]]="Planned",tbl_tasks[[#This Row],[Duration]],NA())</f>
        <v>71</v>
      </c>
      <c r="L250" s="19"/>
    </row>
    <row r="251" spans="1:12" x14ac:dyDescent="0.3">
      <c r="A251" s="19" t="s">
        <v>364</v>
      </c>
      <c r="B251" s="20" t="s">
        <v>86</v>
      </c>
      <c r="C251" s="20" t="s">
        <v>110</v>
      </c>
      <c r="D251" s="19" t="s">
        <v>113</v>
      </c>
      <c r="E251" s="20">
        <v>18</v>
      </c>
      <c r="F251" s="22">
        <v>45719</v>
      </c>
      <c r="G251" s="22">
        <v>45790</v>
      </c>
      <c r="H251" s="23">
        <v>71</v>
      </c>
      <c r="I251" s="24">
        <v>771</v>
      </c>
      <c r="J251" s="19" t="s">
        <v>24</v>
      </c>
      <c r="K251" s="23">
        <f>IF(tbl_tasks[[#This Row],[Status]]="Planned",tbl_tasks[[#This Row],[Duration]],NA())</f>
        <v>71</v>
      </c>
      <c r="L251" s="19"/>
    </row>
    <row r="252" spans="1:12" x14ac:dyDescent="0.3">
      <c r="A252" s="19" t="s">
        <v>365</v>
      </c>
      <c r="B252" s="20" t="s">
        <v>86</v>
      </c>
      <c r="C252" s="20" t="s">
        <v>110</v>
      </c>
      <c r="D252" s="19" t="s">
        <v>114</v>
      </c>
      <c r="E252" s="20">
        <v>19</v>
      </c>
      <c r="F252" s="22">
        <v>45790</v>
      </c>
      <c r="G252" s="22">
        <v>45863</v>
      </c>
      <c r="H252" s="23">
        <v>73</v>
      </c>
      <c r="I252" s="24">
        <v>842</v>
      </c>
      <c r="J252" s="19" t="s">
        <v>24</v>
      </c>
      <c r="K252" s="23">
        <f>IF(tbl_tasks[[#This Row],[Status]]="Planned",tbl_tasks[[#This Row],[Duration]],NA())</f>
        <v>73</v>
      </c>
      <c r="L252" s="19"/>
    </row>
    <row r="253" spans="1:12" x14ac:dyDescent="0.3">
      <c r="A253" s="19" t="s">
        <v>366</v>
      </c>
      <c r="B253" s="20" t="s">
        <v>86</v>
      </c>
      <c r="C253" s="20" t="s">
        <v>74</v>
      </c>
      <c r="D253" s="19" t="s">
        <v>102</v>
      </c>
      <c r="E253" s="20">
        <v>20</v>
      </c>
      <c r="F253" s="22">
        <v>45863</v>
      </c>
      <c r="G253" s="22">
        <v>45895</v>
      </c>
      <c r="H253" s="23">
        <v>32</v>
      </c>
      <c r="I253" s="24">
        <v>915</v>
      </c>
      <c r="J253" s="19" t="s">
        <v>24</v>
      </c>
      <c r="K253" s="23">
        <f>IF(tbl_tasks[[#This Row],[Status]]="Planned",tbl_tasks[[#This Row],[Duration]],NA())</f>
        <v>32</v>
      </c>
      <c r="L253" s="19"/>
    </row>
    <row r="254" spans="1:12" x14ac:dyDescent="0.3">
      <c r="A254" s="19" t="s">
        <v>367</v>
      </c>
      <c r="B254" s="20" t="s">
        <v>86</v>
      </c>
      <c r="C254" s="20" t="s">
        <v>74</v>
      </c>
      <c r="D254" s="19" t="s">
        <v>36</v>
      </c>
      <c r="E254" s="20">
        <v>21</v>
      </c>
      <c r="F254" s="22">
        <v>45895</v>
      </c>
      <c r="G254" s="22">
        <v>45927</v>
      </c>
      <c r="H254" s="23">
        <v>32</v>
      </c>
      <c r="I254" s="24">
        <v>947</v>
      </c>
      <c r="J254" s="19" t="s">
        <v>24</v>
      </c>
      <c r="K254" s="23">
        <f>IF(tbl_tasks[[#This Row],[Status]]="Planned",tbl_tasks[[#This Row],[Duration]],NA())</f>
        <v>32</v>
      </c>
      <c r="L254" s="19"/>
    </row>
    <row r="255" spans="1:12" x14ac:dyDescent="0.3">
      <c r="A255" s="19" t="s">
        <v>368</v>
      </c>
      <c r="B255" s="20" t="s">
        <v>86</v>
      </c>
      <c r="C255" s="20" t="s">
        <v>74</v>
      </c>
      <c r="D255" s="19" t="s">
        <v>61</v>
      </c>
      <c r="E255" s="20">
        <v>22</v>
      </c>
      <c r="F255" s="22">
        <v>45927</v>
      </c>
      <c r="G255" s="22">
        <v>45959</v>
      </c>
      <c r="H255" s="23">
        <v>32</v>
      </c>
      <c r="I255" s="24">
        <v>979</v>
      </c>
      <c r="J255" s="19" t="s">
        <v>24</v>
      </c>
      <c r="K255" s="23">
        <f>IF(tbl_tasks[[#This Row],[Status]]="Planned",tbl_tasks[[#This Row],[Duration]],NA())</f>
        <v>32</v>
      </c>
      <c r="L255" s="19"/>
    </row>
    <row r="256" spans="1:12" x14ac:dyDescent="0.3">
      <c r="A256" s="19" t="s">
        <v>369</v>
      </c>
      <c r="B256" s="20" t="s">
        <v>86</v>
      </c>
      <c r="C256" s="20" t="s">
        <v>74</v>
      </c>
      <c r="D256" s="19" t="s">
        <v>71</v>
      </c>
      <c r="E256" s="20">
        <v>23</v>
      </c>
      <c r="F256" s="22">
        <v>45959</v>
      </c>
      <c r="G256" s="22">
        <v>45991</v>
      </c>
      <c r="H256" s="23">
        <v>32</v>
      </c>
      <c r="I256" s="24">
        <v>1011</v>
      </c>
      <c r="J256" s="19" t="s">
        <v>24</v>
      </c>
      <c r="K256" s="23">
        <f>IF(tbl_tasks[[#This Row],[Status]]="Planned",tbl_tasks[[#This Row],[Duration]],NA())</f>
        <v>32</v>
      </c>
      <c r="L256" s="19"/>
    </row>
    <row r="257" spans="1:12" x14ac:dyDescent="0.3">
      <c r="A257" s="19" t="s">
        <v>370</v>
      </c>
      <c r="B257" s="20" t="s">
        <v>86</v>
      </c>
      <c r="C257" s="20" t="s">
        <v>74</v>
      </c>
      <c r="D257" s="19" t="s">
        <v>72</v>
      </c>
      <c r="E257" s="20">
        <v>24</v>
      </c>
      <c r="F257" s="22">
        <v>45991</v>
      </c>
      <c r="G257" s="22">
        <v>46023</v>
      </c>
      <c r="H257" s="23">
        <v>32</v>
      </c>
      <c r="I257" s="24">
        <v>1043</v>
      </c>
      <c r="J257" s="19" t="s">
        <v>24</v>
      </c>
      <c r="K257" s="23">
        <f>IF(tbl_tasks[[#This Row],[Status]]="Planned",tbl_tasks[[#This Row],[Duration]],NA())</f>
        <v>32</v>
      </c>
      <c r="L257" s="19"/>
    </row>
    <row r="258" spans="1:12" x14ac:dyDescent="0.3">
      <c r="A258" s="19" t="s">
        <v>371</v>
      </c>
      <c r="B258" s="20" t="s">
        <v>86</v>
      </c>
      <c r="C258" s="20" t="s">
        <v>74</v>
      </c>
      <c r="D258" s="19" t="s">
        <v>106</v>
      </c>
      <c r="E258" s="20">
        <v>25</v>
      </c>
      <c r="F258" s="22">
        <v>46023</v>
      </c>
      <c r="G258" s="22">
        <v>46055</v>
      </c>
      <c r="H258" s="23">
        <v>32</v>
      </c>
      <c r="I258" s="24">
        <v>1075</v>
      </c>
      <c r="J258" s="19" t="s">
        <v>24</v>
      </c>
      <c r="K258" s="23">
        <f>IF(tbl_tasks[[#This Row],[Status]]="Planned",tbl_tasks[[#This Row],[Duration]],NA())</f>
        <v>32</v>
      </c>
      <c r="L258" s="19"/>
    </row>
    <row r="259" spans="1:12" x14ac:dyDescent="0.3">
      <c r="A259" s="19" t="s">
        <v>372</v>
      </c>
      <c r="B259" s="20" t="s">
        <v>86</v>
      </c>
      <c r="C259" s="20" t="s">
        <v>74</v>
      </c>
      <c r="D259" s="19" t="s">
        <v>64</v>
      </c>
      <c r="E259" s="20">
        <v>26</v>
      </c>
      <c r="F259" s="22">
        <v>46055</v>
      </c>
      <c r="G259" s="22">
        <v>46093</v>
      </c>
      <c r="H259" s="23">
        <v>38</v>
      </c>
      <c r="I259" s="24">
        <v>1107</v>
      </c>
      <c r="J259" s="19" t="s">
        <v>24</v>
      </c>
      <c r="K259" s="23">
        <f>IF(tbl_tasks[[#This Row],[Status]]="Planned",tbl_tasks[[#This Row],[Duration]],NA())</f>
        <v>38</v>
      </c>
      <c r="L259" s="19"/>
    </row>
    <row r="260" spans="1:12" x14ac:dyDescent="0.3">
      <c r="A260" s="19" t="s">
        <v>373</v>
      </c>
      <c r="B260" s="20" t="s">
        <v>87</v>
      </c>
      <c r="C260" s="20" t="s">
        <v>74</v>
      </c>
      <c r="D260" s="19" t="s">
        <v>56</v>
      </c>
      <c r="E260" s="20">
        <v>1</v>
      </c>
      <c r="F260" s="22">
        <v>44947</v>
      </c>
      <c r="G260" s="22">
        <v>44992</v>
      </c>
      <c r="H260" s="23">
        <v>45</v>
      </c>
      <c r="I260" s="24">
        <v>0</v>
      </c>
      <c r="J260" s="19" t="s">
        <v>24</v>
      </c>
      <c r="K260" s="23">
        <f>IF(tbl_tasks[[#This Row],[Status]]="Planned",tbl_tasks[[#This Row],[Duration]],NA())</f>
        <v>45</v>
      </c>
      <c r="L260" s="19"/>
    </row>
    <row r="261" spans="1:12" x14ac:dyDescent="0.3">
      <c r="A261" s="19" t="s">
        <v>374</v>
      </c>
      <c r="B261" s="20" t="s">
        <v>87</v>
      </c>
      <c r="C261" s="20" t="s">
        <v>74</v>
      </c>
      <c r="D261" s="19" t="s">
        <v>62</v>
      </c>
      <c r="E261" s="20">
        <v>2</v>
      </c>
      <c r="F261" s="22">
        <v>44992</v>
      </c>
      <c r="G261" s="22">
        <v>45037</v>
      </c>
      <c r="H261" s="23">
        <v>45</v>
      </c>
      <c r="I261" s="24">
        <v>45</v>
      </c>
      <c r="J261" s="19" t="s">
        <v>24</v>
      </c>
      <c r="K261" s="23">
        <f>IF(tbl_tasks[[#This Row],[Status]]="Planned",tbl_tasks[[#This Row],[Duration]],NA())</f>
        <v>45</v>
      </c>
      <c r="L261" s="19"/>
    </row>
    <row r="262" spans="1:12" x14ac:dyDescent="0.3">
      <c r="A262" s="19" t="s">
        <v>375</v>
      </c>
      <c r="B262" s="20" t="s">
        <v>87</v>
      </c>
      <c r="C262" s="20" t="s">
        <v>74</v>
      </c>
      <c r="D262" s="19" t="s">
        <v>63</v>
      </c>
      <c r="E262" s="20">
        <v>3</v>
      </c>
      <c r="F262" s="22">
        <v>45037</v>
      </c>
      <c r="G262" s="22">
        <v>45082</v>
      </c>
      <c r="H262" s="23">
        <v>45</v>
      </c>
      <c r="I262" s="24">
        <v>90</v>
      </c>
      <c r="J262" s="19" t="s">
        <v>24</v>
      </c>
      <c r="K262" s="23">
        <f>IF(tbl_tasks[[#This Row],[Status]]="Planned",tbl_tasks[[#This Row],[Duration]],NA())</f>
        <v>45</v>
      </c>
      <c r="L262" s="19"/>
    </row>
    <row r="263" spans="1:12" x14ac:dyDescent="0.3">
      <c r="A263" s="19" t="s">
        <v>376</v>
      </c>
      <c r="B263" s="20" t="s">
        <v>87</v>
      </c>
      <c r="C263" s="20" t="s">
        <v>74</v>
      </c>
      <c r="D263" s="19" t="s">
        <v>438</v>
      </c>
      <c r="E263" s="20">
        <v>4</v>
      </c>
      <c r="F263" s="22">
        <v>45082</v>
      </c>
      <c r="G263" s="22">
        <v>45127</v>
      </c>
      <c r="H263" s="23">
        <v>45</v>
      </c>
      <c r="I263" s="24">
        <v>135</v>
      </c>
      <c r="J263" s="19" t="s">
        <v>24</v>
      </c>
      <c r="K263" s="23">
        <f>IF(tbl_tasks[[#This Row],[Status]]="Planned",tbl_tasks[[#This Row],[Duration]],NA())</f>
        <v>45</v>
      </c>
      <c r="L263" s="19"/>
    </row>
    <row r="264" spans="1:12" x14ac:dyDescent="0.3">
      <c r="A264" s="19" t="s">
        <v>377</v>
      </c>
      <c r="B264" s="20" t="s">
        <v>87</v>
      </c>
      <c r="C264" s="20" t="s">
        <v>74</v>
      </c>
      <c r="D264" s="19" t="s">
        <v>33</v>
      </c>
      <c r="E264" s="20">
        <v>5</v>
      </c>
      <c r="F264" s="22">
        <v>45127</v>
      </c>
      <c r="G264" s="22">
        <v>45172</v>
      </c>
      <c r="H264" s="23">
        <v>45</v>
      </c>
      <c r="I264" s="24">
        <v>180</v>
      </c>
      <c r="J264" s="19" t="s">
        <v>24</v>
      </c>
      <c r="K264" s="23">
        <f>IF(tbl_tasks[[#This Row],[Status]]="Planned",tbl_tasks[[#This Row],[Duration]],NA())</f>
        <v>45</v>
      </c>
      <c r="L264" s="19"/>
    </row>
    <row r="265" spans="1:12" x14ac:dyDescent="0.3">
      <c r="A265" s="19" t="s">
        <v>378</v>
      </c>
      <c r="B265" s="20" t="s">
        <v>87</v>
      </c>
      <c r="C265" s="20" t="s">
        <v>74</v>
      </c>
      <c r="D265" s="19" t="s">
        <v>34</v>
      </c>
      <c r="E265" s="20">
        <v>6</v>
      </c>
      <c r="F265" s="22">
        <v>45172</v>
      </c>
      <c r="G265" s="22">
        <v>45217</v>
      </c>
      <c r="H265" s="23">
        <v>45</v>
      </c>
      <c r="I265" s="24">
        <v>225</v>
      </c>
      <c r="J265" s="19" t="s">
        <v>24</v>
      </c>
      <c r="K265" s="23">
        <f>IF(tbl_tasks[[#This Row],[Status]]="Planned",tbl_tasks[[#This Row],[Duration]],NA())</f>
        <v>45</v>
      </c>
      <c r="L265" s="19"/>
    </row>
    <row r="266" spans="1:12" x14ac:dyDescent="0.3">
      <c r="A266" s="19" t="s">
        <v>379</v>
      </c>
      <c r="B266" s="20" t="s">
        <v>87</v>
      </c>
      <c r="C266" s="20" t="s">
        <v>74</v>
      </c>
      <c r="D266" s="19" t="s">
        <v>68</v>
      </c>
      <c r="E266" s="20">
        <v>7</v>
      </c>
      <c r="F266" s="22">
        <v>45217</v>
      </c>
      <c r="G266" s="22">
        <v>45262</v>
      </c>
      <c r="H266" s="23">
        <v>45</v>
      </c>
      <c r="I266" s="24">
        <v>270</v>
      </c>
      <c r="J266" s="19" t="s">
        <v>24</v>
      </c>
      <c r="K266" s="23">
        <f>IF(tbl_tasks[[#This Row],[Status]]="Planned",tbl_tasks[[#This Row],[Duration]],NA())</f>
        <v>45</v>
      </c>
      <c r="L266" s="19"/>
    </row>
    <row r="267" spans="1:12" x14ac:dyDescent="0.3">
      <c r="A267" s="19" t="s">
        <v>380</v>
      </c>
      <c r="B267" s="20" t="s">
        <v>87</v>
      </c>
      <c r="C267" s="20" t="s">
        <v>74</v>
      </c>
      <c r="D267" s="19" t="s">
        <v>66</v>
      </c>
      <c r="E267" s="20">
        <v>8</v>
      </c>
      <c r="F267" s="22">
        <v>45262</v>
      </c>
      <c r="G267" s="22">
        <v>45307</v>
      </c>
      <c r="H267" s="23">
        <v>45</v>
      </c>
      <c r="I267" s="24">
        <v>315</v>
      </c>
      <c r="J267" s="19" t="s">
        <v>24</v>
      </c>
      <c r="K267" s="23">
        <f>IF(tbl_tasks[[#This Row],[Status]]="Planned",tbl_tasks[[#This Row],[Duration]],NA())</f>
        <v>45</v>
      </c>
      <c r="L267" s="19"/>
    </row>
    <row r="268" spans="1:12" x14ac:dyDescent="0.3">
      <c r="A268" s="19" t="s">
        <v>381</v>
      </c>
      <c r="B268" s="20" t="s">
        <v>87</v>
      </c>
      <c r="C268" s="20" t="s">
        <v>74</v>
      </c>
      <c r="D268" s="19" t="s">
        <v>67</v>
      </c>
      <c r="E268" s="20">
        <v>9</v>
      </c>
      <c r="F268" s="22">
        <v>45307</v>
      </c>
      <c r="G268" s="22">
        <v>45352</v>
      </c>
      <c r="H268" s="23">
        <v>45</v>
      </c>
      <c r="I268" s="24">
        <v>360</v>
      </c>
      <c r="J268" s="19" t="s">
        <v>24</v>
      </c>
      <c r="K268" s="23">
        <f>IF(tbl_tasks[[#This Row],[Status]]="Planned",tbl_tasks[[#This Row],[Duration]],NA())</f>
        <v>45</v>
      </c>
      <c r="L268" s="19"/>
    </row>
    <row r="269" spans="1:12" x14ac:dyDescent="0.3">
      <c r="A269" s="19" t="s">
        <v>382</v>
      </c>
      <c r="B269" s="20" t="s">
        <v>87</v>
      </c>
      <c r="C269" s="20" t="s">
        <v>74</v>
      </c>
      <c r="D269" s="19" t="s">
        <v>35</v>
      </c>
      <c r="E269" s="20">
        <v>10</v>
      </c>
      <c r="F269" s="22">
        <v>45352</v>
      </c>
      <c r="G269" s="22">
        <v>45404</v>
      </c>
      <c r="H269" s="23">
        <v>52</v>
      </c>
      <c r="I269" s="24">
        <v>405</v>
      </c>
      <c r="J269" s="19" t="s">
        <v>24</v>
      </c>
      <c r="K269" s="23">
        <f>IF(tbl_tasks[[#This Row],[Status]]="Planned",tbl_tasks[[#This Row],[Duration]],NA())</f>
        <v>52</v>
      </c>
      <c r="L269" s="19"/>
    </row>
    <row r="270" spans="1:12" x14ac:dyDescent="0.3">
      <c r="A270" s="19" t="s">
        <v>383</v>
      </c>
      <c r="B270" s="20" t="s">
        <v>87</v>
      </c>
      <c r="C270" s="20" t="s">
        <v>17</v>
      </c>
      <c r="D270" s="19" t="s">
        <v>57</v>
      </c>
      <c r="E270" s="20">
        <v>11</v>
      </c>
      <c r="F270" s="22">
        <v>45404</v>
      </c>
      <c r="G270" s="22">
        <v>45445</v>
      </c>
      <c r="H270" s="23">
        <v>41</v>
      </c>
      <c r="I270" s="24">
        <v>457</v>
      </c>
      <c r="J270" s="19" t="s">
        <v>24</v>
      </c>
      <c r="K270" s="23">
        <f>IF(tbl_tasks[[#This Row],[Status]]="Planned",tbl_tasks[[#This Row],[Duration]],NA())</f>
        <v>41</v>
      </c>
      <c r="L270" s="19"/>
    </row>
    <row r="271" spans="1:12" x14ac:dyDescent="0.3">
      <c r="A271" s="19" t="s">
        <v>384</v>
      </c>
      <c r="B271" s="20" t="s">
        <v>87</v>
      </c>
      <c r="C271" s="20" t="s">
        <v>17</v>
      </c>
      <c r="D271" s="19" t="s">
        <v>65</v>
      </c>
      <c r="E271" s="20">
        <v>12</v>
      </c>
      <c r="F271" s="22">
        <v>45445</v>
      </c>
      <c r="G271" s="22">
        <v>45486</v>
      </c>
      <c r="H271" s="23">
        <v>41</v>
      </c>
      <c r="I271" s="24">
        <v>498</v>
      </c>
      <c r="J271" s="19" t="s">
        <v>24</v>
      </c>
      <c r="K271" s="23">
        <f>IF(tbl_tasks[[#This Row],[Status]]="Planned",tbl_tasks[[#This Row],[Duration]],NA())</f>
        <v>41</v>
      </c>
      <c r="L271" s="19"/>
    </row>
    <row r="272" spans="1:12" x14ac:dyDescent="0.3">
      <c r="A272" s="19" t="s">
        <v>385</v>
      </c>
      <c r="B272" s="20" t="s">
        <v>87</v>
      </c>
      <c r="C272" s="20" t="s">
        <v>17</v>
      </c>
      <c r="D272" s="19" t="s">
        <v>58</v>
      </c>
      <c r="E272" s="20">
        <v>13</v>
      </c>
      <c r="F272" s="22">
        <v>45486</v>
      </c>
      <c r="G272" s="22">
        <v>45527</v>
      </c>
      <c r="H272" s="23">
        <v>41</v>
      </c>
      <c r="I272" s="24">
        <v>539</v>
      </c>
      <c r="J272" s="19" t="s">
        <v>24</v>
      </c>
      <c r="K272" s="23">
        <f>IF(tbl_tasks[[#This Row],[Status]]="Planned",tbl_tasks[[#This Row],[Duration]],NA())</f>
        <v>41</v>
      </c>
      <c r="L272" s="19"/>
    </row>
    <row r="273" spans="1:12" x14ac:dyDescent="0.3">
      <c r="A273" s="19" t="s">
        <v>386</v>
      </c>
      <c r="B273" s="20" t="s">
        <v>87</v>
      </c>
      <c r="C273" s="20" t="s">
        <v>17</v>
      </c>
      <c r="D273" s="19" t="s">
        <v>103</v>
      </c>
      <c r="E273" s="20">
        <v>14</v>
      </c>
      <c r="F273" s="22">
        <v>45527</v>
      </c>
      <c r="G273" s="22">
        <v>45568</v>
      </c>
      <c r="H273" s="23">
        <v>41</v>
      </c>
      <c r="I273" s="24">
        <v>580</v>
      </c>
      <c r="J273" s="19" t="s">
        <v>24</v>
      </c>
      <c r="K273" s="23">
        <f>IF(tbl_tasks[[#This Row],[Status]]="Planned",tbl_tasks[[#This Row],[Duration]],NA())</f>
        <v>41</v>
      </c>
      <c r="L273" s="19"/>
    </row>
    <row r="274" spans="1:12" x14ac:dyDescent="0.3">
      <c r="A274" s="19" t="s">
        <v>387</v>
      </c>
      <c r="B274" s="20" t="s">
        <v>87</v>
      </c>
      <c r="C274" s="20" t="s">
        <v>17</v>
      </c>
      <c r="D274" s="19" t="s">
        <v>104</v>
      </c>
      <c r="E274" s="20">
        <v>15</v>
      </c>
      <c r="F274" s="22">
        <v>45568</v>
      </c>
      <c r="G274" s="22">
        <v>45612</v>
      </c>
      <c r="H274" s="23">
        <v>44</v>
      </c>
      <c r="I274" s="24">
        <v>621</v>
      </c>
      <c r="J274" s="19" t="s">
        <v>24</v>
      </c>
      <c r="K274" s="23">
        <f>IF(tbl_tasks[[#This Row],[Status]]="Planned",tbl_tasks[[#This Row],[Duration]],NA())</f>
        <v>44</v>
      </c>
      <c r="L274" s="19"/>
    </row>
    <row r="275" spans="1:12" x14ac:dyDescent="0.3">
      <c r="A275" s="19" t="s">
        <v>388</v>
      </c>
      <c r="B275" s="20" t="s">
        <v>87</v>
      </c>
      <c r="C275" s="20" t="s">
        <v>110</v>
      </c>
      <c r="D275" s="19" t="s">
        <v>111</v>
      </c>
      <c r="E275" s="20">
        <v>16</v>
      </c>
      <c r="F275" s="22">
        <v>45404</v>
      </c>
      <c r="G275" s="22">
        <v>45456</v>
      </c>
      <c r="H275" s="23">
        <v>52</v>
      </c>
      <c r="I275" s="24">
        <v>457</v>
      </c>
      <c r="J275" s="19" t="s">
        <v>24</v>
      </c>
      <c r="K275" s="23">
        <f>IF(tbl_tasks[[#This Row],[Status]]="Planned",tbl_tasks[[#This Row],[Duration]],NA())</f>
        <v>52</v>
      </c>
      <c r="L275" s="19"/>
    </row>
    <row r="276" spans="1:12" x14ac:dyDescent="0.3">
      <c r="A276" s="19" t="s">
        <v>389</v>
      </c>
      <c r="B276" s="20" t="s">
        <v>87</v>
      </c>
      <c r="C276" s="20" t="s">
        <v>110</v>
      </c>
      <c r="D276" s="19" t="s">
        <v>112</v>
      </c>
      <c r="E276" s="20">
        <v>17</v>
      </c>
      <c r="F276" s="22">
        <v>45456</v>
      </c>
      <c r="G276" s="22">
        <v>45508</v>
      </c>
      <c r="H276" s="23">
        <v>52</v>
      </c>
      <c r="I276" s="24">
        <v>509</v>
      </c>
      <c r="J276" s="19" t="s">
        <v>24</v>
      </c>
      <c r="K276" s="23">
        <f>IF(tbl_tasks[[#This Row],[Status]]="Planned",tbl_tasks[[#This Row],[Duration]],NA())</f>
        <v>52</v>
      </c>
      <c r="L276" s="19"/>
    </row>
    <row r="277" spans="1:12" x14ac:dyDescent="0.3">
      <c r="A277" s="19" t="s">
        <v>390</v>
      </c>
      <c r="B277" s="20" t="s">
        <v>87</v>
      </c>
      <c r="C277" s="20" t="s">
        <v>110</v>
      </c>
      <c r="D277" s="19" t="s">
        <v>113</v>
      </c>
      <c r="E277" s="20">
        <v>18</v>
      </c>
      <c r="F277" s="22">
        <v>45508</v>
      </c>
      <c r="G277" s="22">
        <v>45560</v>
      </c>
      <c r="H277" s="23">
        <v>52</v>
      </c>
      <c r="I277" s="24">
        <v>561</v>
      </c>
      <c r="J277" s="19" t="s">
        <v>24</v>
      </c>
      <c r="K277" s="23">
        <f>IF(tbl_tasks[[#This Row],[Status]]="Planned",tbl_tasks[[#This Row],[Duration]],NA())</f>
        <v>52</v>
      </c>
      <c r="L277" s="19"/>
    </row>
    <row r="278" spans="1:12" x14ac:dyDescent="0.3">
      <c r="A278" s="19" t="s">
        <v>391</v>
      </c>
      <c r="B278" s="20" t="s">
        <v>87</v>
      </c>
      <c r="C278" s="20" t="s">
        <v>110</v>
      </c>
      <c r="D278" s="19" t="s">
        <v>114</v>
      </c>
      <c r="E278" s="20">
        <v>19</v>
      </c>
      <c r="F278" s="22">
        <v>45560</v>
      </c>
      <c r="G278" s="22">
        <v>45612</v>
      </c>
      <c r="H278" s="23">
        <v>52</v>
      </c>
      <c r="I278" s="24">
        <v>613</v>
      </c>
      <c r="J278" s="19" t="s">
        <v>24</v>
      </c>
      <c r="K278" s="23">
        <f>IF(tbl_tasks[[#This Row],[Status]]="Planned",tbl_tasks[[#This Row],[Duration]],NA())</f>
        <v>52</v>
      </c>
      <c r="L278" s="19"/>
    </row>
    <row r="279" spans="1:12" x14ac:dyDescent="0.3">
      <c r="A279" s="19" t="s">
        <v>392</v>
      </c>
      <c r="B279" s="20" t="s">
        <v>87</v>
      </c>
      <c r="C279" s="20" t="s">
        <v>74</v>
      </c>
      <c r="D279" s="19" t="s">
        <v>102</v>
      </c>
      <c r="E279" s="20">
        <v>20</v>
      </c>
      <c r="F279" s="22">
        <v>45612</v>
      </c>
      <c r="G279" s="22">
        <v>45635</v>
      </c>
      <c r="H279" s="23">
        <v>23</v>
      </c>
      <c r="I279" s="24">
        <v>665</v>
      </c>
      <c r="J279" s="19" t="s">
        <v>24</v>
      </c>
      <c r="K279" s="23">
        <f>IF(tbl_tasks[[#This Row],[Status]]="Planned",tbl_tasks[[#This Row],[Duration]],NA())</f>
        <v>23</v>
      </c>
      <c r="L279" s="19"/>
    </row>
    <row r="280" spans="1:12" x14ac:dyDescent="0.3">
      <c r="A280" s="19" t="s">
        <v>393</v>
      </c>
      <c r="B280" s="20" t="s">
        <v>87</v>
      </c>
      <c r="C280" s="20" t="s">
        <v>74</v>
      </c>
      <c r="D280" s="19" t="s">
        <v>36</v>
      </c>
      <c r="E280" s="20">
        <v>21</v>
      </c>
      <c r="F280" s="22">
        <v>45635</v>
      </c>
      <c r="G280" s="22">
        <v>45658</v>
      </c>
      <c r="H280" s="23">
        <v>23</v>
      </c>
      <c r="I280" s="24">
        <v>688</v>
      </c>
      <c r="J280" s="19" t="s">
        <v>24</v>
      </c>
      <c r="K280" s="23">
        <f>IF(tbl_tasks[[#This Row],[Status]]="Planned",tbl_tasks[[#This Row],[Duration]],NA())</f>
        <v>23</v>
      </c>
      <c r="L280" s="19"/>
    </row>
    <row r="281" spans="1:12" x14ac:dyDescent="0.3">
      <c r="A281" s="19" t="s">
        <v>394</v>
      </c>
      <c r="B281" s="20" t="s">
        <v>87</v>
      </c>
      <c r="C281" s="20" t="s">
        <v>74</v>
      </c>
      <c r="D281" s="19" t="s">
        <v>61</v>
      </c>
      <c r="E281" s="20">
        <v>22</v>
      </c>
      <c r="F281" s="22">
        <v>45658</v>
      </c>
      <c r="G281" s="22">
        <v>45681</v>
      </c>
      <c r="H281" s="23">
        <v>23</v>
      </c>
      <c r="I281" s="24">
        <v>711</v>
      </c>
      <c r="J281" s="19" t="s">
        <v>24</v>
      </c>
      <c r="K281" s="23">
        <f>IF(tbl_tasks[[#This Row],[Status]]="Planned",tbl_tasks[[#This Row],[Duration]],NA())</f>
        <v>23</v>
      </c>
      <c r="L281" s="19"/>
    </row>
    <row r="282" spans="1:12" x14ac:dyDescent="0.3">
      <c r="A282" s="19" t="s">
        <v>395</v>
      </c>
      <c r="B282" s="20" t="s">
        <v>87</v>
      </c>
      <c r="C282" s="20" t="s">
        <v>74</v>
      </c>
      <c r="D282" s="19" t="s">
        <v>71</v>
      </c>
      <c r="E282" s="20">
        <v>23</v>
      </c>
      <c r="F282" s="22">
        <v>45681</v>
      </c>
      <c r="G282" s="22">
        <v>45704</v>
      </c>
      <c r="H282" s="23">
        <v>23</v>
      </c>
      <c r="I282" s="24">
        <v>734</v>
      </c>
      <c r="J282" s="19" t="s">
        <v>24</v>
      </c>
      <c r="K282" s="23">
        <f>IF(tbl_tasks[[#This Row],[Status]]="Planned",tbl_tasks[[#This Row],[Duration]],NA())</f>
        <v>23</v>
      </c>
      <c r="L282" s="19"/>
    </row>
    <row r="283" spans="1:12" x14ac:dyDescent="0.3">
      <c r="A283" s="19" t="s">
        <v>396</v>
      </c>
      <c r="B283" s="20" t="s">
        <v>87</v>
      </c>
      <c r="C283" s="20" t="s">
        <v>74</v>
      </c>
      <c r="D283" s="19" t="s">
        <v>72</v>
      </c>
      <c r="E283" s="20">
        <v>24</v>
      </c>
      <c r="F283" s="22">
        <v>45704</v>
      </c>
      <c r="G283" s="22">
        <v>45727</v>
      </c>
      <c r="H283" s="23">
        <v>23</v>
      </c>
      <c r="I283" s="24">
        <v>757</v>
      </c>
      <c r="J283" s="19" t="s">
        <v>24</v>
      </c>
      <c r="K283" s="23">
        <f>IF(tbl_tasks[[#This Row],[Status]]="Planned",tbl_tasks[[#This Row],[Duration]],NA())</f>
        <v>23</v>
      </c>
      <c r="L283" s="19"/>
    </row>
    <row r="284" spans="1:12" x14ac:dyDescent="0.3">
      <c r="A284" s="19" t="s">
        <v>397</v>
      </c>
      <c r="B284" s="20" t="s">
        <v>87</v>
      </c>
      <c r="C284" s="20" t="s">
        <v>74</v>
      </c>
      <c r="D284" s="19" t="s">
        <v>106</v>
      </c>
      <c r="E284" s="20">
        <v>25</v>
      </c>
      <c r="F284" s="22">
        <v>45727</v>
      </c>
      <c r="G284" s="22">
        <v>45750</v>
      </c>
      <c r="H284" s="23">
        <v>23</v>
      </c>
      <c r="I284" s="24">
        <v>780</v>
      </c>
      <c r="J284" s="19" t="s">
        <v>24</v>
      </c>
      <c r="K284" s="23">
        <f>IF(tbl_tasks[[#This Row],[Status]]="Planned",tbl_tasks[[#This Row],[Duration]],NA())</f>
        <v>23</v>
      </c>
      <c r="L284" s="19"/>
    </row>
    <row r="285" spans="1:12" x14ac:dyDescent="0.3">
      <c r="A285" s="19" t="s">
        <v>398</v>
      </c>
      <c r="B285" s="20" t="s">
        <v>87</v>
      </c>
      <c r="C285" s="20" t="s">
        <v>74</v>
      </c>
      <c r="D285" s="19" t="s">
        <v>64</v>
      </c>
      <c r="E285" s="20">
        <v>26</v>
      </c>
      <c r="F285" s="22">
        <v>45750</v>
      </c>
      <c r="G285" s="22">
        <v>45779</v>
      </c>
      <c r="H285" s="23">
        <v>29</v>
      </c>
      <c r="I285" s="24">
        <v>803</v>
      </c>
      <c r="J285" s="19" t="s">
        <v>24</v>
      </c>
      <c r="K285" s="23">
        <f>IF(tbl_tasks[[#This Row],[Status]]="Planned",tbl_tasks[[#This Row],[Duration]],NA())</f>
        <v>29</v>
      </c>
      <c r="L285" s="19"/>
    </row>
    <row r="286" spans="1:12" x14ac:dyDescent="0.3">
      <c r="A286" s="19" t="s">
        <v>399</v>
      </c>
      <c r="B286" s="20" t="s">
        <v>88</v>
      </c>
      <c r="C286" s="20" t="s">
        <v>74</v>
      </c>
      <c r="D286" s="19" t="s">
        <v>56</v>
      </c>
      <c r="E286" s="20">
        <v>1</v>
      </c>
      <c r="F286" s="22">
        <v>45013</v>
      </c>
      <c r="G286" s="22">
        <v>45067</v>
      </c>
      <c r="H286" s="23">
        <v>54</v>
      </c>
      <c r="I286" s="24">
        <v>0</v>
      </c>
      <c r="J286" s="19" t="s">
        <v>24</v>
      </c>
      <c r="K286" s="23">
        <f>IF(tbl_tasks[[#This Row],[Status]]="Planned",tbl_tasks[[#This Row],[Duration]],NA())</f>
        <v>54</v>
      </c>
      <c r="L286" s="19"/>
    </row>
    <row r="287" spans="1:12" x14ac:dyDescent="0.3">
      <c r="A287" s="19" t="s">
        <v>400</v>
      </c>
      <c r="B287" s="20" t="s">
        <v>88</v>
      </c>
      <c r="C287" s="20" t="s">
        <v>74</v>
      </c>
      <c r="D287" s="19" t="s">
        <v>62</v>
      </c>
      <c r="E287" s="20">
        <v>2</v>
      </c>
      <c r="F287" s="22">
        <v>45067</v>
      </c>
      <c r="G287" s="22">
        <v>45121</v>
      </c>
      <c r="H287" s="23">
        <v>54</v>
      </c>
      <c r="I287" s="24">
        <v>54</v>
      </c>
      <c r="J287" s="19" t="s">
        <v>24</v>
      </c>
      <c r="K287" s="23">
        <f>IF(tbl_tasks[[#This Row],[Status]]="Planned",tbl_tasks[[#This Row],[Duration]],NA())</f>
        <v>54</v>
      </c>
      <c r="L287" s="19"/>
    </row>
    <row r="288" spans="1:12" x14ac:dyDescent="0.3">
      <c r="A288" s="19" t="s">
        <v>401</v>
      </c>
      <c r="B288" s="20" t="s">
        <v>88</v>
      </c>
      <c r="C288" s="20" t="s">
        <v>74</v>
      </c>
      <c r="D288" s="19" t="s">
        <v>63</v>
      </c>
      <c r="E288" s="20">
        <v>3</v>
      </c>
      <c r="F288" s="22">
        <v>45121</v>
      </c>
      <c r="G288" s="22">
        <v>45175</v>
      </c>
      <c r="H288" s="23">
        <v>54</v>
      </c>
      <c r="I288" s="24">
        <v>108</v>
      </c>
      <c r="J288" s="19" t="s">
        <v>24</v>
      </c>
      <c r="K288" s="23">
        <f>IF(tbl_tasks[[#This Row],[Status]]="Planned",tbl_tasks[[#This Row],[Duration]],NA())</f>
        <v>54</v>
      </c>
      <c r="L288" s="19"/>
    </row>
    <row r="289" spans="1:12" x14ac:dyDescent="0.3">
      <c r="A289" s="19" t="s">
        <v>402</v>
      </c>
      <c r="B289" s="20" t="s">
        <v>88</v>
      </c>
      <c r="C289" s="20" t="s">
        <v>74</v>
      </c>
      <c r="D289" s="19" t="s">
        <v>438</v>
      </c>
      <c r="E289" s="20">
        <v>4</v>
      </c>
      <c r="F289" s="22">
        <v>45175</v>
      </c>
      <c r="G289" s="22">
        <v>45229</v>
      </c>
      <c r="H289" s="23">
        <v>54</v>
      </c>
      <c r="I289" s="24">
        <v>162</v>
      </c>
      <c r="J289" s="19" t="s">
        <v>24</v>
      </c>
      <c r="K289" s="23">
        <f>IF(tbl_tasks[[#This Row],[Status]]="Planned",tbl_tasks[[#This Row],[Duration]],NA())</f>
        <v>54</v>
      </c>
      <c r="L289" s="19"/>
    </row>
    <row r="290" spans="1:12" x14ac:dyDescent="0.3">
      <c r="A290" s="19" t="s">
        <v>403</v>
      </c>
      <c r="B290" s="20" t="s">
        <v>88</v>
      </c>
      <c r="C290" s="20" t="s">
        <v>74</v>
      </c>
      <c r="D290" s="19" t="s">
        <v>33</v>
      </c>
      <c r="E290" s="20">
        <v>5</v>
      </c>
      <c r="F290" s="22">
        <v>45229</v>
      </c>
      <c r="G290" s="22">
        <v>45283</v>
      </c>
      <c r="H290" s="23">
        <v>54</v>
      </c>
      <c r="I290" s="24">
        <v>216</v>
      </c>
      <c r="J290" s="19" t="s">
        <v>24</v>
      </c>
      <c r="K290" s="23">
        <f>IF(tbl_tasks[[#This Row],[Status]]="Planned",tbl_tasks[[#This Row],[Duration]],NA())</f>
        <v>54</v>
      </c>
      <c r="L290" s="19"/>
    </row>
    <row r="291" spans="1:12" x14ac:dyDescent="0.3">
      <c r="A291" s="19" t="s">
        <v>404</v>
      </c>
      <c r="B291" s="20" t="s">
        <v>88</v>
      </c>
      <c r="C291" s="20" t="s">
        <v>74</v>
      </c>
      <c r="D291" s="19" t="s">
        <v>34</v>
      </c>
      <c r="E291" s="20">
        <v>6</v>
      </c>
      <c r="F291" s="22">
        <v>45283</v>
      </c>
      <c r="G291" s="22">
        <v>45337</v>
      </c>
      <c r="H291" s="23">
        <v>54</v>
      </c>
      <c r="I291" s="24">
        <v>270</v>
      </c>
      <c r="J291" s="19" t="s">
        <v>24</v>
      </c>
      <c r="K291" s="23">
        <f>IF(tbl_tasks[[#This Row],[Status]]="Planned",tbl_tasks[[#This Row],[Duration]],NA())</f>
        <v>54</v>
      </c>
      <c r="L291" s="19"/>
    </row>
    <row r="292" spans="1:12" x14ac:dyDescent="0.3">
      <c r="A292" s="19" t="s">
        <v>405</v>
      </c>
      <c r="B292" s="20" t="s">
        <v>88</v>
      </c>
      <c r="C292" s="20" t="s">
        <v>74</v>
      </c>
      <c r="D292" s="19" t="s">
        <v>68</v>
      </c>
      <c r="E292" s="20">
        <v>7</v>
      </c>
      <c r="F292" s="22">
        <v>45337</v>
      </c>
      <c r="G292" s="22">
        <v>45391</v>
      </c>
      <c r="H292" s="23">
        <v>54</v>
      </c>
      <c r="I292" s="24">
        <v>324</v>
      </c>
      <c r="J292" s="19" t="s">
        <v>24</v>
      </c>
      <c r="K292" s="23">
        <f>IF(tbl_tasks[[#This Row],[Status]]="Planned",tbl_tasks[[#This Row],[Duration]],NA())</f>
        <v>54</v>
      </c>
      <c r="L292" s="19"/>
    </row>
    <row r="293" spans="1:12" x14ac:dyDescent="0.3">
      <c r="A293" s="19" t="s">
        <v>406</v>
      </c>
      <c r="B293" s="20" t="s">
        <v>88</v>
      </c>
      <c r="C293" s="20" t="s">
        <v>74</v>
      </c>
      <c r="D293" s="19" t="s">
        <v>66</v>
      </c>
      <c r="E293" s="20">
        <v>8</v>
      </c>
      <c r="F293" s="22">
        <v>45391</v>
      </c>
      <c r="G293" s="22">
        <v>45445</v>
      </c>
      <c r="H293" s="23">
        <v>54</v>
      </c>
      <c r="I293" s="24">
        <v>378</v>
      </c>
      <c r="J293" s="19" t="s">
        <v>24</v>
      </c>
      <c r="K293" s="23">
        <f>IF(tbl_tasks[[#This Row],[Status]]="Planned",tbl_tasks[[#This Row],[Duration]],NA())</f>
        <v>54</v>
      </c>
      <c r="L293" s="19"/>
    </row>
    <row r="294" spans="1:12" x14ac:dyDescent="0.3">
      <c r="A294" s="19" t="s">
        <v>407</v>
      </c>
      <c r="B294" s="20" t="s">
        <v>88</v>
      </c>
      <c r="C294" s="20" t="s">
        <v>74</v>
      </c>
      <c r="D294" s="19" t="s">
        <v>67</v>
      </c>
      <c r="E294" s="20">
        <v>9</v>
      </c>
      <c r="F294" s="22">
        <v>45445</v>
      </c>
      <c r="G294" s="22">
        <v>45499</v>
      </c>
      <c r="H294" s="23">
        <v>54</v>
      </c>
      <c r="I294" s="24">
        <v>432</v>
      </c>
      <c r="J294" s="19" t="s">
        <v>24</v>
      </c>
      <c r="K294" s="23">
        <f>IF(tbl_tasks[[#This Row],[Status]]="Planned",tbl_tasks[[#This Row],[Duration]],NA())</f>
        <v>54</v>
      </c>
      <c r="L294" s="19"/>
    </row>
    <row r="295" spans="1:12" x14ac:dyDescent="0.3">
      <c r="A295" s="19" t="s">
        <v>408</v>
      </c>
      <c r="B295" s="20" t="s">
        <v>88</v>
      </c>
      <c r="C295" s="20" t="s">
        <v>74</v>
      </c>
      <c r="D295" s="19" t="s">
        <v>35</v>
      </c>
      <c r="E295" s="20">
        <v>10</v>
      </c>
      <c r="F295" s="22">
        <v>45499</v>
      </c>
      <c r="G295" s="22">
        <v>45555</v>
      </c>
      <c r="H295" s="23">
        <v>56</v>
      </c>
      <c r="I295" s="24">
        <v>486</v>
      </c>
      <c r="J295" s="19" t="s">
        <v>24</v>
      </c>
      <c r="K295" s="23">
        <f>IF(tbl_tasks[[#This Row],[Status]]="Planned",tbl_tasks[[#This Row],[Duration]],NA())</f>
        <v>56</v>
      </c>
      <c r="L295" s="19"/>
    </row>
    <row r="296" spans="1:12" x14ac:dyDescent="0.3">
      <c r="A296" s="19" t="s">
        <v>409</v>
      </c>
      <c r="B296" s="20" t="s">
        <v>88</v>
      </c>
      <c r="C296" s="20" t="s">
        <v>17</v>
      </c>
      <c r="D296" s="19" t="s">
        <v>57</v>
      </c>
      <c r="E296" s="20">
        <v>11</v>
      </c>
      <c r="F296" s="22">
        <v>45555</v>
      </c>
      <c r="G296" s="22">
        <v>45604</v>
      </c>
      <c r="H296" s="23">
        <v>49</v>
      </c>
      <c r="I296" s="24">
        <v>542</v>
      </c>
      <c r="J296" s="19" t="s">
        <v>24</v>
      </c>
      <c r="K296" s="23">
        <f>IF(tbl_tasks[[#This Row],[Status]]="Planned",tbl_tasks[[#This Row],[Duration]],NA())</f>
        <v>49</v>
      </c>
      <c r="L296" s="19"/>
    </row>
    <row r="297" spans="1:12" x14ac:dyDescent="0.3">
      <c r="A297" s="19" t="s">
        <v>410</v>
      </c>
      <c r="B297" s="20" t="s">
        <v>88</v>
      </c>
      <c r="C297" s="20" t="s">
        <v>17</v>
      </c>
      <c r="D297" s="19" t="s">
        <v>65</v>
      </c>
      <c r="E297" s="20">
        <v>12</v>
      </c>
      <c r="F297" s="22">
        <v>45604</v>
      </c>
      <c r="G297" s="22">
        <v>45653</v>
      </c>
      <c r="H297" s="23">
        <v>49</v>
      </c>
      <c r="I297" s="24">
        <v>591</v>
      </c>
      <c r="J297" s="19" t="s">
        <v>24</v>
      </c>
      <c r="K297" s="23">
        <f>IF(tbl_tasks[[#This Row],[Status]]="Planned",tbl_tasks[[#This Row],[Duration]],NA())</f>
        <v>49</v>
      </c>
      <c r="L297" s="19"/>
    </row>
    <row r="298" spans="1:12" x14ac:dyDescent="0.3">
      <c r="A298" s="19" t="s">
        <v>411</v>
      </c>
      <c r="B298" s="20" t="s">
        <v>88</v>
      </c>
      <c r="C298" s="20" t="s">
        <v>17</v>
      </c>
      <c r="D298" s="19" t="s">
        <v>58</v>
      </c>
      <c r="E298" s="20">
        <v>13</v>
      </c>
      <c r="F298" s="22">
        <v>45653</v>
      </c>
      <c r="G298" s="22">
        <v>45702</v>
      </c>
      <c r="H298" s="23">
        <v>49</v>
      </c>
      <c r="I298" s="24">
        <v>640</v>
      </c>
      <c r="J298" s="19" t="s">
        <v>24</v>
      </c>
      <c r="K298" s="23">
        <f>IF(tbl_tasks[[#This Row],[Status]]="Planned",tbl_tasks[[#This Row],[Duration]],NA())</f>
        <v>49</v>
      </c>
      <c r="L298" s="19"/>
    </row>
    <row r="299" spans="1:12" x14ac:dyDescent="0.3">
      <c r="A299" s="19" t="s">
        <v>412</v>
      </c>
      <c r="B299" s="20" t="s">
        <v>88</v>
      </c>
      <c r="C299" s="20" t="s">
        <v>17</v>
      </c>
      <c r="D299" s="19" t="s">
        <v>103</v>
      </c>
      <c r="E299" s="20">
        <v>14</v>
      </c>
      <c r="F299" s="22">
        <v>45702</v>
      </c>
      <c r="G299" s="22">
        <v>45751</v>
      </c>
      <c r="H299" s="23">
        <v>49</v>
      </c>
      <c r="I299" s="24">
        <v>689</v>
      </c>
      <c r="J299" s="19" t="s">
        <v>24</v>
      </c>
      <c r="K299" s="23">
        <f>IF(tbl_tasks[[#This Row],[Status]]="Planned",tbl_tasks[[#This Row],[Duration]],NA())</f>
        <v>49</v>
      </c>
      <c r="L299" s="19"/>
    </row>
    <row r="300" spans="1:12" x14ac:dyDescent="0.3">
      <c r="A300" s="19" t="s">
        <v>413</v>
      </c>
      <c r="B300" s="20" t="s">
        <v>88</v>
      </c>
      <c r="C300" s="20" t="s">
        <v>17</v>
      </c>
      <c r="D300" s="19" t="s">
        <v>104</v>
      </c>
      <c r="E300" s="20">
        <v>15</v>
      </c>
      <c r="F300" s="22">
        <v>45751</v>
      </c>
      <c r="G300" s="22">
        <v>45801</v>
      </c>
      <c r="H300" s="23">
        <v>50</v>
      </c>
      <c r="I300" s="24">
        <v>738</v>
      </c>
      <c r="J300" s="19" t="s">
        <v>24</v>
      </c>
      <c r="K300" s="23">
        <f>IF(tbl_tasks[[#This Row],[Status]]="Planned",tbl_tasks[[#This Row],[Duration]],NA())</f>
        <v>50</v>
      </c>
      <c r="L300" s="19"/>
    </row>
    <row r="301" spans="1:12" x14ac:dyDescent="0.3">
      <c r="A301" s="19" t="s">
        <v>414</v>
      </c>
      <c r="B301" s="20" t="s">
        <v>88</v>
      </c>
      <c r="C301" s="20" t="s">
        <v>18</v>
      </c>
      <c r="D301" s="19" t="s">
        <v>57</v>
      </c>
      <c r="E301" s="20">
        <v>16</v>
      </c>
      <c r="F301" s="22">
        <v>45555</v>
      </c>
      <c r="G301" s="22">
        <v>45604</v>
      </c>
      <c r="H301" s="23">
        <v>49</v>
      </c>
      <c r="I301" s="24">
        <v>542</v>
      </c>
      <c r="J301" s="19" t="s">
        <v>24</v>
      </c>
      <c r="K301" s="23">
        <f>IF(tbl_tasks[[#This Row],[Status]]="Planned",tbl_tasks[[#This Row],[Duration]],NA())</f>
        <v>49</v>
      </c>
      <c r="L301" s="19"/>
    </row>
    <row r="302" spans="1:12" x14ac:dyDescent="0.3">
      <c r="A302" s="19" t="s">
        <v>415</v>
      </c>
      <c r="B302" s="20" t="s">
        <v>88</v>
      </c>
      <c r="C302" s="20" t="s">
        <v>18</v>
      </c>
      <c r="D302" s="19" t="s">
        <v>69</v>
      </c>
      <c r="E302" s="20">
        <v>17</v>
      </c>
      <c r="F302" s="22">
        <v>45604</v>
      </c>
      <c r="G302" s="22">
        <v>45653</v>
      </c>
      <c r="H302" s="23">
        <v>49</v>
      </c>
      <c r="I302" s="24">
        <v>591</v>
      </c>
      <c r="J302" s="19" t="s">
        <v>24</v>
      </c>
      <c r="K302" s="23">
        <f>IF(tbl_tasks[[#This Row],[Status]]="Planned",tbl_tasks[[#This Row],[Duration]],NA())</f>
        <v>49</v>
      </c>
      <c r="L302" s="19"/>
    </row>
    <row r="303" spans="1:12" x14ac:dyDescent="0.3">
      <c r="A303" s="19" t="s">
        <v>416</v>
      </c>
      <c r="B303" s="20" t="s">
        <v>88</v>
      </c>
      <c r="C303" s="20" t="s">
        <v>18</v>
      </c>
      <c r="D303" s="19" t="s">
        <v>70</v>
      </c>
      <c r="E303" s="20">
        <v>18</v>
      </c>
      <c r="F303" s="22">
        <v>45653</v>
      </c>
      <c r="G303" s="22">
        <v>45702</v>
      </c>
      <c r="H303" s="23">
        <v>49</v>
      </c>
      <c r="I303" s="24">
        <v>640</v>
      </c>
      <c r="J303" s="19" t="s">
        <v>24</v>
      </c>
      <c r="K303" s="23">
        <f>IF(tbl_tasks[[#This Row],[Status]]="Planned",tbl_tasks[[#This Row],[Duration]],NA())</f>
        <v>49</v>
      </c>
      <c r="L303" s="19"/>
    </row>
    <row r="304" spans="1:12" x14ac:dyDescent="0.3">
      <c r="A304" s="19" t="s">
        <v>417</v>
      </c>
      <c r="B304" s="20" t="s">
        <v>88</v>
      </c>
      <c r="C304" s="20" t="s">
        <v>18</v>
      </c>
      <c r="D304" s="19" t="s">
        <v>59</v>
      </c>
      <c r="E304" s="20">
        <v>19</v>
      </c>
      <c r="F304" s="22">
        <v>45702</v>
      </c>
      <c r="G304" s="22">
        <v>45751</v>
      </c>
      <c r="H304" s="23">
        <v>49</v>
      </c>
      <c r="I304" s="24">
        <v>689</v>
      </c>
      <c r="J304" s="19" t="s">
        <v>24</v>
      </c>
      <c r="K304" s="23">
        <f>IF(tbl_tasks[[#This Row],[Status]]="Planned",tbl_tasks[[#This Row],[Duration]],NA())</f>
        <v>49</v>
      </c>
      <c r="L304" s="19"/>
    </row>
    <row r="305" spans="1:12" x14ac:dyDescent="0.3">
      <c r="A305" s="19" t="s">
        <v>418</v>
      </c>
      <c r="B305" s="20" t="s">
        <v>88</v>
      </c>
      <c r="C305" s="20" t="s">
        <v>18</v>
      </c>
      <c r="D305" s="19" t="s">
        <v>105</v>
      </c>
      <c r="E305" s="20">
        <v>20</v>
      </c>
      <c r="F305" s="22">
        <v>45751</v>
      </c>
      <c r="G305" s="22">
        <v>45801</v>
      </c>
      <c r="H305" s="23">
        <v>50</v>
      </c>
      <c r="I305" s="24">
        <v>738</v>
      </c>
      <c r="J305" s="19" t="s">
        <v>24</v>
      </c>
      <c r="K305" s="23">
        <f>IF(tbl_tasks[[#This Row],[Status]]="Planned",tbl_tasks[[#This Row],[Duration]],NA())</f>
        <v>50</v>
      </c>
      <c r="L305" s="19"/>
    </row>
    <row r="306" spans="1:12" x14ac:dyDescent="0.3">
      <c r="A306" s="19" t="s">
        <v>419</v>
      </c>
      <c r="B306" s="20" t="s">
        <v>88</v>
      </c>
      <c r="C306" s="20" t="s">
        <v>19</v>
      </c>
      <c r="D306" s="19" t="s">
        <v>60</v>
      </c>
      <c r="E306" s="20">
        <v>21</v>
      </c>
      <c r="F306" s="22">
        <v>45555</v>
      </c>
      <c r="G306" s="22">
        <v>45604</v>
      </c>
      <c r="H306" s="23">
        <v>49</v>
      </c>
      <c r="I306" s="24">
        <v>542</v>
      </c>
      <c r="J306" s="19" t="s">
        <v>24</v>
      </c>
      <c r="K306" s="23">
        <f>IF(tbl_tasks[[#This Row],[Status]]="Planned",tbl_tasks[[#This Row],[Duration]],NA())</f>
        <v>49</v>
      </c>
      <c r="L306" s="19"/>
    </row>
    <row r="307" spans="1:12" x14ac:dyDescent="0.3">
      <c r="A307" s="19" t="s">
        <v>420</v>
      </c>
      <c r="B307" s="20" t="s">
        <v>88</v>
      </c>
      <c r="C307" s="20" t="s">
        <v>19</v>
      </c>
      <c r="D307" s="19" t="s">
        <v>73</v>
      </c>
      <c r="E307" s="20">
        <v>22</v>
      </c>
      <c r="F307" s="22">
        <v>45604</v>
      </c>
      <c r="G307" s="22">
        <v>45653</v>
      </c>
      <c r="H307" s="23">
        <v>49</v>
      </c>
      <c r="I307" s="24">
        <v>591</v>
      </c>
      <c r="J307" s="19" t="s">
        <v>24</v>
      </c>
      <c r="K307" s="23">
        <f>IF(tbl_tasks[[#This Row],[Status]]="Planned",tbl_tasks[[#This Row],[Duration]],NA())</f>
        <v>49</v>
      </c>
      <c r="L307" s="19"/>
    </row>
    <row r="308" spans="1:12" x14ac:dyDescent="0.3">
      <c r="A308" s="19" t="s">
        <v>421</v>
      </c>
      <c r="B308" s="20" t="s">
        <v>88</v>
      </c>
      <c r="C308" s="20" t="s">
        <v>19</v>
      </c>
      <c r="D308" s="19" t="s">
        <v>107</v>
      </c>
      <c r="E308" s="20">
        <v>23</v>
      </c>
      <c r="F308" s="22">
        <v>45653</v>
      </c>
      <c r="G308" s="22">
        <v>45702</v>
      </c>
      <c r="H308" s="23">
        <v>49</v>
      </c>
      <c r="I308" s="24">
        <v>640</v>
      </c>
      <c r="J308" s="19" t="s">
        <v>24</v>
      </c>
      <c r="K308" s="23">
        <f>IF(tbl_tasks[[#This Row],[Status]]="Planned",tbl_tasks[[#This Row],[Duration]],NA())</f>
        <v>49</v>
      </c>
      <c r="L308" s="19"/>
    </row>
    <row r="309" spans="1:12" x14ac:dyDescent="0.3">
      <c r="A309" s="19" t="s">
        <v>422</v>
      </c>
      <c r="B309" s="20" t="s">
        <v>88</v>
      </c>
      <c r="C309" s="20" t="s">
        <v>19</v>
      </c>
      <c r="D309" s="19" t="s">
        <v>108</v>
      </c>
      <c r="E309" s="20">
        <v>24</v>
      </c>
      <c r="F309" s="22">
        <v>45702</v>
      </c>
      <c r="G309" s="22">
        <v>45751</v>
      </c>
      <c r="H309" s="23">
        <v>49</v>
      </c>
      <c r="I309" s="24">
        <v>689</v>
      </c>
      <c r="J309" s="19" t="s">
        <v>24</v>
      </c>
      <c r="K309" s="23">
        <f>IF(tbl_tasks[[#This Row],[Status]]="Planned",tbl_tasks[[#This Row],[Duration]],NA())</f>
        <v>49</v>
      </c>
      <c r="L309" s="19"/>
    </row>
    <row r="310" spans="1:12" x14ac:dyDescent="0.3">
      <c r="A310" s="19" t="s">
        <v>423</v>
      </c>
      <c r="B310" s="20" t="s">
        <v>88</v>
      </c>
      <c r="C310" s="20" t="s">
        <v>19</v>
      </c>
      <c r="D310" s="19" t="s">
        <v>109</v>
      </c>
      <c r="E310" s="20">
        <v>25</v>
      </c>
      <c r="F310" s="22">
        <v>45751</v>
      </c>
      <c r="G310" s="22">
        <v>45801</v>
      </c>
      <c r="H310" s="23">
        <v>50</v>
      </c>
      <c r="I310" s="24">
        <v>738</v>
      </c>
      <c r="J310" s="19" t="s">
        <v>24</v>
      </c>
      <c r="K310" s="23">
        <f>IF(tbl_tasks[[#This Row],[Status]]="Planned",tbl_tasks[[#This Row],[Duration]],NA())</f>
        <v>50</v>
      </c>
      <c r="L310" s="19"/>
    </row>
    <row r="311" spans="1:12" x14ac:dyDescent="0.3">
      <c r="A311" s="19" t="s">
        <v>424</v>
      </c>
      <c r="B311" s="20" t="s">
        <v>88</v>
      </c>
      <c r="C311" s="20" t="s">
        <v>110</v>
      </c>
      <c r="D311" s="19" t="s">
        <v>111</v>
      </c>
      <c r="E311" s="20">
        <v>26</v>
      </c>
      <c r="F311" s="22">
        <v>45555</v>
      </c>
      <c r="G311" s="22">
        <v>45616</v>
      </c>
      <c r="H311" s="23">
        <v>61</v>
      </c>
      <c r="I311" s="24">
        <v>542</v>
      </c>
      <c r="J311" s="19" t="s">
        <v>24</v>
      </c>
      <c r="K311" s="23">
        <f>IF(tbl_tasks[[#This Row],[Status]]="Planned",tbl_tasks[[#This Row],[Duration]],NA())</f>
        <v>61</v>
      </c>
      <c r="L311" s="19"/>
    </row>
    <row r="312" spans="1:12" x14ac:dyDescent="0.3">
      <c r="A312" s="19" t="s">
        <v>425</v>
      </c>
      <c r="B312" s="20" t="s">
        <v>88</v>
      </c>
      <c r="C312" s="20" t="s">
        <v>110</v>
      </c>
      <c r="D312" s="19" t="s">
        <v>112</v>
      </c>
      <c r="E312" s="20">
        <v>27</v>
      </c>
      <c r="F312" s="22">
        <v>45616</v>
      </c>
      <c r="G312" s="22">
        <v>45677</v>
      </c>
      <c r="H312" s="23">
        <v>61</v>
      </c>
      <c r="I312" s="24">
        <v>603</v>
      </c>
      <c r="J312" s="19" t="s">
        <v>24</v>
      </c>
      <c r="K312" s="23">
        <f>IF(tbl_tasks[[#This Row],[Status]]="Planned",tbl_tasks[[#This Row],[Duration]],NA())</f>
        <v>61</v>
      </c>
      <c r="L312" s="19"/>
    </row>
    <row r="313" spans="1:12" x14ac:dyDescent="0.3">
      <c r="A313" s="19" t="s">
        <v>426</v>
      </c>
      <c r="B313" s="20" t="s">
        <v>88</v>
      </c>
      <c r="C313" s="20" t="s">
        <v>110</v>
      </c>
      <c r="D313" s="19" t="s">
        <v>113</v>
      </c>
      <c r="E313" s="20">
        <v>28</v>
      </c>
      <c r="F313" s="22">
        <v>45677</v>
      </c>
      <c r="G313" s="22">
        <v>45738</v>
      </c>
      <c r="H313" s="23">
        <v>61</v>
      </c>
      <c r="I313" s="24">
        <v>664</v>
      </c>
      <c r="J313" s="19" t="s">
        <v>24</v>
      </c>
      <c r="K313" s="23">
        <f>IF(tbl_tasks[[#This Row],[Status]]="Planned",tbl_tasks[[#This Row],[Duration]],NA())</f>
        <v>61</v>
      </c>
      <c r="L313" s="19"/>
    </row>
    <row r="314" spans="1:12" x14ac:dyDescent="0.3">
      <c r="A314" s="19" t="s">
        <v>427</v>
      </c>
      <c r="B314" s="20" t="s">
        <v>88</v>
      </c>
      <c r="C314" s="20" t="s">
        <v>110</v>
      </c>
      <c r="D314" s="19" t="s">
        <v>114</v>
      </c>
      <c r="E314" s="20">
        <v>29</v>
      </c>
      <c r="F314" s="22">
        <v>45738</v>
      </c>
      <c r="G314" s="22">
        <v>45801</v>
      </c>
      <c r="H314" s="23">
        <v>63</v>
      </c>
      <c r="I314" s="24">
        <v>725</v>
      </c>
      <c r="J314" s="19" t="s">
        <v>24</v>
      </c>
      <c r="K314" s="23">
        <f>IF(tbl_tasks[[#This Row],[Status]]="Planned",tbl_tasks[[#This Row],[Duration]],NA())</f>
        <v>63</v>
      </c>
      <c r="L314" s="19"/>
    </row>
    <row r="315" spans="1:12" x14ac:dyDescent="0.3">
      <c r="A315" s="19" t="s">
        <v>428</v>
      </c>
      <c r="B315" s="20" t="s">
        <v>88</v>
      </c>
      <c r="C315" s="20" t="s">
        <v>74</v>
      </c>
      <c r="D315" s="19" t="s">
        <v>102</v>
      </c>
      <c r="E315" s="20">
        <v>30</v>
      </c>
      <c r="F315" s="22">
        <v>45801</v>
      </c>
      <c r="G315" s="22">
        <v>45829</v>
      </c>
      <c r="H315" s="23">
        <v>28</v>
      </c>
      <c r="I315" s="24">
        <v>788</v>
      </c>
      <c r="J315" s="19" t="s">
        <v>24</v>
      </c>
      <c r="K315" s="23">
        <f>IF(tbl_tasks[[#This Row],[Status]]="Planned",tbl_tasks[[#This Row],[Duration]],NA())</f>
        <v>28</v>
      </c>
      <c r="L315" s="19"/>
    </row>
    <row r="316" spans="1:12" x14ac:dyDescent="0.3">
      <c r="A316" s="19" t="s">
        <v>429</v>
      </c>
      <c r="B316" s="20" t="s">
        <v>88</v>
      </c>
      <c r="C316" s="20" t="s">
        <v>74</v>
      </c>
      <c r="D316" s="19" t="s">
        <v>36</v>
      </c>
      <c r="E316" s="20">
        <v>31</v>
      </c>
      <c r="F316" s="22">
        <v>45829</v>
      </c>
      <c r="G316" s="22">
        <v>45857</v>
      </c>
      <c r="H316" s="23">
        <v>28</v>
      </c>
      <c r="I316" s="24">
        <v>816</v>
      </c>
      <c r="J316" s="19" t="s">
        <v>24</v>
      </c>
      <c r="K316" s="23">
        <f>IF(tbl_tasks[[#This Row],[Status]]="Planned",tbl_tasks[[#This Row],[Duration]],NA())</f>
        <v>28</v>
      </c>
      <c r="L316" s="19"/>
    </row>
    <row r="317" spans="1:12" x14ac:dyDescent="0.3">
      <c r="A317" s="19" t="s">
        <v>430</v>
      </c>
      <c r="B317" s="20" t="s">
        <v>88</v>
      </c>
      <c r="C317" s="20" t="s">
        <v>74</v>
      </c>
      <c r="D317" s="19" t="s">
        <v>61</v>
      </c>
      <c r="E317" s="20">
        <v>32</v>
      </c>
      <c r="F317" s="22">
        <v>45857</v>
      </c>
      <c r="G317" s="22">
        <v>45885</v>
      </c>
      <c r="H317" s="23">
        <v>28</v>
      </c>
      <c r="I317" s="24">
        <v>844</v>
      </c>
      <c r="J317" s="19" t="s">
        <v>24</v>
      </c>
      <c r="K317" s="23">
        <f>IF(tbl_tasks[[#This Row],[Status]]="Planned",tbl_tasks[[#This Row],[Duration]],NA())</f>
        <v>28</v>
      </c>
      <c r="L317" s="19"/>
    </row>
    <row r="318" spans="1:12" x14ac:dyDescent="0.3">
      <c r="A318" s="19" t="s">
        <v>431</v>
      </c>
      <c r="B318" s="20" t="s">
        <v>88</v>
      </c>
      <c r="C318" s="20" t="s">
        <v>74</v>
      </c>
      <c r="D318" s="19" t="s">
        <v>71</v>
      </c>
      <c r="E318" s="20">
        <v>33</v>
      </c>
      <c r="F318" s="22">
        <v>45885</v>
      </c>
      <c r="G318" s="22">
        <v>45913</v>
      </c>
      <c r="H318" s="23">
        <v>28</v>
      </c>
      <c r="I318" s="24">
        <v>872</v>
      </c>
      <c r="J318" s="19" t="s">
        <v>24</v>
      </c>
      <c r="K318" s="23">
        <f>IF(tbl_tasks[[#This Row],[Status]]="Planned",tbl_tasks[[#This Row],[Duration]],NA())</f>
        <v>28</v>
      </c>
      <c r="L318" s="19"/>
    </row>
    <row r="319" spans="1:12" x14ac:dyDescent="0.3">
      <c r="A319" s="19" t="s">
        <v>432</v>
      </c>
      <c r="B319" s="20" t="s">
        <v>88</v>
      </c>
      <c r="C319" s="20" t="s">
        <v>74</v>
      </c>
      <c r="D319" s="19" t="s">
        <v>72</v>
      </c>
      <c r="E319" s="20">
        <v>34</v>
      </c>
      <c r="F319" s="22">
        <v>45913</v>
      </c>
      <c r="G319" s="22">
        <v>45941</v>
      </c>
      <c r="H319" s="23">
        <v>28</v>
      </c>
      <c r="I319" s="24">
        <v>900</v>
      </c>
      <c r="J319" s="19" t="s">
        <v>24</v>
      </c>
      <c r="K319" s="23">
        <f>IF(tbl_tasks[[#This Row],[Status]]="Planned",tbl_tasks[[#This Row],[Duration]],NA())</f>
        <v>28</v>
      </c>
      <c r="L319" s="19"/>
    </row>
    <row r="320" spans="1:12" x14ac:dyDescent="0.3">
      <c r="A320" s="19" t="s">
        <v>433</v>
      </c>
      <c r="B320" s="20" t="s">
        <v>88</v>
      </c>
      <c r="C320" s="20" t="s">
        <v>74</v>
      </c>
      <c r="D320" s="19" t="s">
        <v>106</v>
      </c>
      <c r="E320" s="20">
        <v>35</v>
      </c>
      <c r="F320" s="22">
        <v>45941</v>
      </c>
      <c r="G320" s="22">
        <v>45969</v>
      </c>
      <c r="H320" s="23">
        <v>28</v>
      </c>
      <c r="I320" s="24">
        <v>928</v>
      </c>
      <c r="J320" s="19" t="s">
        <v>24</v>
      </c>
      <c r="K320" s="23">
        <f>IF(tbl_tasks[[#This Row],[Status]]="Planned",tbl_tasks[[#This Row],[Duration]],NA())</f>
        <v>28</v>
      </c>
      <c r="L320" s="19"/>
    </row>
    <row r="321" spans="1:12" x14ac:dyDescent="0.3">
      <c r="A321" s="19" t="s">
        <v>434</v>
      </c>
      <c r="B321" s="20" t="s">
        <v>88</v>
      </c>
      <c r="C321" s="20" t="s">
        <v>74</v>
      </c>
      <c r="D321" s="19" t="s">
        <v>64</v>
      </c>
      <c r="E321" s="20">
        <v>36</v>
      </c>
      <c r="F321" s="22">
        <v>45969</v>
      </c>
      <c r="G321" s="22">
        <v>45999</v>
      </c>
      <c r="H321" s="23">
        <v>30</v>
      </c>
      <c r="I321" s="24">
        <v>956</v>
      </c>
      <c r="J321" s="19" t="s">
        <v>24</v>
      </c>
      <c r="K321" s="23">
        <f>IF(tbl_tasks[[#This Row],[Status]]="Planned",tbl_tasks[[#This Row],[Duration]],NA())</f>
        <v>30</v>
      </c>
      <c r="L321" s="19"/>
    </row>
  </sheetData>
  <sheetProtection algorithmName="SHA-512" hashValue="iWUVocv/DUVuSS6ECXmYefjoh4kejnVJW+gZGRWdgm2RkwTV/Ie72wej0SPMim5uwUHHc5GUpE0NTbZLgzd2bg==" saltValue="Mr1N/3s7qI1GaHondTIgPQ==" spinCount="100000" sheet="1" objects="1" scenarios="1" selectLockedCells="1" sort="0" autoFilter="0" pivotTables="0"/>
  <phoneticPr fontId="3" type="noConversion"/>
  <pageMargins left="0.7" right="0.7" top="0.75" bottom="0.75" header="0.3" footer="0.3"/>
  <pageSetup paperSize="9"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GenerateTasks">
                <anchor moveWithCells="1" sizeWithCells="1">
                  <from>
                    <xdr:col>12</xdr:col>
                    <xdr:colOff>381000</xdr:colOff>
                    <xdr:row>0</xdr:row>
                    <xdr:rowOff>91440</xdr:rowOff>
                  </from>
                  <to>
                    <xdr:col>18</xdr:col>
                    <xdr:colOff>541020</xdr:colOff>
                    <xdr:row>2</xdr:row>
                    <xdr:rowOff>22860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3F1D57B3-7B86-40E8-A28F-18D87B759325}">
          <x14:formula1>
            <xm:f>Lists!$C$2:$C$4</xm:f>
          </x14:formula1>
          <xm:sqref>J2:J321</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D5863-5B50-41E2-8252-2B6195D9733B}">
  <sheetPr codeName="Sheet3"/>
  <dimension ref="A1:BC48"/>
  <sheetViews>
    <sheetView zoomScale="75" zoomScaleNormal="75" workbookViewId="0">
      <selection activeCell="A4" sqref="A4"/>
    </sheetView>
  </sheetViews>
  <sheetFormatPr defaultRowHeight="14.4" x14ac:dyDescent="0.3"/>
  <cols>
    <col min="1" max="1" width="26.77734375" style="1" customWidth="1"/>
    <col min="2" max="2" width="15.5546875" style="1" bestFit="1" customWidth="1"/>
    <col min="3" max="3" width="30.109375" style="1" customWidth="1"/>
    <col min="4" max="4" width="13" style="1" customWidth="1"/>
    <col min="5" max="5" width="13.5546875" style="1" bestFit="1" customWidth="1"/>
    <col min="6" max="6" width="15.6640625" style="1" bestFit="1" customWidth="1"/>
    <col min="7" max="7" width="13" style="1" customWidth="1"/>
    <col min="8" max="8" width="13.88671875" style="1" bestFit="1" customWidth="1"/>
    <col min="9" max="12" width="10.77734375" style="1" bestFit="1" customWidth="1"/>
    <col min="13" max="14" width="10.88671875" style="1" bestFit="1" customWidth="1"/>
    <col min="15" max="25" width="10.77734375" style="1" bestFit="1" customWidth="1"/>
    <col min="26" max="35" width="14.5546875" style="1" bestFit="1" customWidth="1"/>
    <col min="36" max="46" width="10.77734375" style="1" bestFit="1" customWidth="1"/>
    <col min="47" max="55" width="9.21875" style="1" customWidth="1"/>
    <col min="56" max="16384" width="8.88671875" style="1"/>
  </cols>
  <sheetData>
    <row r="1" spans="1:55" ht="30" customHeight="1" x14ac:dyDescent="0.3">
      <c r="A1" s="41" t="s">
        <v>503</v>
      </c>
      <c r="B1" s="41"/>
      <c r="C1" s="41"/>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row>
    <row r="2" spans="1:55" x14ac:dyDescent="0.3">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row>
    <row r="3" spans="1:55" x14ac:dyDescent="0.3">
      <c r="A3" s="42" t="s">
        <v>466</v>
      </c>
      <c r="B3" s="42" t="s">
        <v>487</v>
      </c>
      <c r="C3" s="42" t="s">
        <v>441</v>
      </c>
      <c r="D3" s="42" t="s">
        <v>442</v>
      </c>
      <c r="E3" s="42" t="s">
        <v>488</v>
      </c>
      <c r="F3" s="42" t="s">
        <v>489</v>
      </c>
      <c r="G3" s="42" t="s">
        <v>500</v>
      </c>
      <c r="H3" s="42" t="s">
        <v>501</v>
      </c>
      <c r="I3" s="42" t="s">
        <v>502</v>
      </c>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row>
    <row r="4" spans="1:55" ht="15" thickBot="1" x14ac:dyDescent="0.35">
      <c r="A4" s="79" t="s">
        <v>77</v>
      </c>
      <c r="B4" s="43" t="str">
        <f>IFERROR(VLOOKUP(A4,tbl_projects[],2,FALSE),"")</f>
        <v>Blue Sky Initiative</v>
      </c>
      <c r="C4" s="44">
        <f>IFERROR(VLOOKUP(A4,tbl_projects[],7,FALSE),"")</f>
        <v>44946</v>
      </c>
      <c r="D4" s="44">
        <f>IFERROR(VLOOKUP(A4,tbl_projects[],8,FALSE),"")</f>
        <v>45952</v>
      </c>
      <c r="E4" s="45">
        <f>IFERROR(AVERAGEIF(tbl_tasks[Project_ID],A4,#REF!),0)</f>
        <v>0</v>
      </c>
      <c r="F4" s="43" t="str">
        <f>IFERROR(VLOOKUP(A4,tbl_projects[],19,FALSE),"")</f>
        <v>Miguel</v>
      </c>
      <c r="G4" s="30">
        <f>COUNTIF(tbl_tasks[Project_ID],A4)</f>
        <v>36</v>
      </c>
      <c r="H4" s="30" t="str">
        <f>IFERROR(VLOOKUP(A4,tbl_projects[],6,FALSE),"")</f>
        <v>In Progress</v>
      </c>
      <c r="I4" s="30" t="str">
        <f>IFERROR(VLOOKUP(A4,tbl_projects[],20,FALSE),"")</f>
        <v>High</v>
      </c>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row>
    <row r="5" spans="1:55" x14ac:dyDescent="0.3">
      <c r="A5" s="46" t="s">
        <v>504</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row>
    <row r="6" spans="1:55" x14ac:dyDescent="0.3">
      <c r="A6" s="30" t="s">
        <v>490</v>
      </c>
      <c r="B6" s="40" t="s">
        <v>491</v>
      </c>
      <c r="C6" s="19"/>
      <c r="D6" s="30" t="s">
        <v>492</v>
      </c>
      <c r="E6" s="47" t="s">
        <v>26</v>
      </c>
      <c r="F6" s="48" t="s">
        <v>550</v>
      </c>
      <c r="G6" s="49" t="s">
        <v>24</v>
      </c>
      <c r="H6" s="50" t="s">
        <v>74</v>
      </c>
      <c r="I6" s="51" t="s">
        <v>17</v>
      </c>
      <c r="J6" s="52" t="s">
        <v>18</v>
      </c>
      <c r="K6" s="53" t="s">
        <v>493</v>
      </c>
      <c r="L6" s="54" t="s">
        <v>110</v>
      </c>
      <c r="M6" s="30" t="s">
        <v>499</v>
      </c>
      <c r="N6" s="55">
        <f ca="1">TODAY()</f>
        <v>46121</v>
      </c>
      <c r="O6" s="56" t="s">
        <v>505</v>
      </c>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row>
    <row r="7" spans="1:55" ht="18" hidden="1" x14ac:dyDescent="0.35">
      <c r="A7" s="19"/>
      <c r="B7" s="19"/>
      <c r="C7" s="19"/>
      <c r="D7" s="19"/>
      <c r="E7" s="19"/>
      <c r="F7" s="19"/>
      <c r="G7" s="19"/>
      <c r="H7" s="57"/>
      <c r="I7" s="57"/>
      <c r="J7" s="57"/>
      <c r="K7" s="57"/>
      <c r="L7" s="57"/>
      <c r="M7" s="57"/>
      <c r="N7" s="57"/>
      <c r="O7" s="57"/>
      <c r="P7" s="57"/>
      <c r="Q7" s="57"/>
      <c r="R7" s="57"/>
      <c r="S7" s="57"/>
      <c r="T7" s="57"/>
      <c r="U7" s="57"/>
      <c r="V7" s="57"/>
      <c r="W7" s="57"/>
      <c r="X7" s="57"/>
      <c r="Y7" s="57"/>
      <c r="Z7" s="57"/>
      <c r="AA7" s="57"/>
      <c r="AB7" s="57"/>
      <c r="AC7" s="57"/>
      <c r="AD7" s="57"/>
      <c r="AE7" s="57"/>
      <c r="AF7" s="57"/>
      <c r="AG7" s="57"/>
      <c r="AH7" s="57"/>
      <c r="AI7" s="57"/>
      <c r="AJ7" s="57"/>
      <c r="AK7" s="57"/>
      <c r="AL7" s="57"/>
      <c r="AM7" s="57"/>
      <c r="AN7" s="57"/>
      <c r="AO7" s="57"/>
      <c r="AP7" s="57"/>
      <c r="AQ7" s="57"/>
      <c r="AR7" s="57"/>
      <c r="AS7" s="57"/>
      <c r="AT7" s="57"/>
      <c r="AU7" s="57" t="s">
        <v>506</v>
      </c>
      <c r="AV7" s="57"/>
      <c r="AW7" s="57"/>
      <c r="AX7" s="57"/>
      <c r="AY7" s="57"/>
      <c r="AZ7" s="57"/>
      <c r="BA7" s="57"/>
      <c r="BB7" s="57"/>
      <c r="BC7" s="57"/>
    </row>
    <row r="8" spans="1:55" x14ac:dyDescent="0.3">
      <c r="A8" s="58" t="s">
        <v>494</v>
      </c>
      <c r="B8" s="59" t="s">
        <v>3</v>
      </c>
      <c r="C8" s="59" t="s">
        <v>495</v>
      </c>
      <c r="D8" s="59" t="s">
        <v>496</v>
      </c>
      <c r="E8" s="59" t="s">
        <v>497</v>
      </c>
      <c r="F8" s="59" t="s">
        <v>498</v>
      </c>
      <c r="G8" s="60" t="s">
        <v>4</v>
      </c>
      <c r="H8" s="61">
        <f>DATE(2023,1,1)</f>
        <v>44927</v>
      </c>
      <c r="I8" s="61">
        <f>EDATE(H8,1)</f>
        <v>44958</v>
      </c>
      <c r="J8" s="61">
        <f t="shared" ref="J8:BC8" si="0">EDATE(I8,1)</f>
        <v>44986</v>
      </c>
      <c r="K8" s="61">
        <f t="shared" si="0"/>
        <v>45017</v>
      </c>
      <c r="L8" s="61">
        <f t="shared" si="0"/>
        <v>45047</v>
      </c>
      <c r="M8" s="61">
        <f t="shared" si="0"/>
        <v>45078</v>
      </c>
      <c r="N8" s="61">
        <f t="shared" si="0"/>
        <v>45108</v>
      </c>
      <c r="O8" s="61">
        <f t="shared" si="0"/>
        <v>45139</v>
      </c>
      <c r="P8" s="61">
        <f t="shared" si="0"/>
        <v>45170</v>
      </c>
      <c r="Q8" s="61">
        <f t="shared" si="0"/>
        <v>45200</v>
      </c>
      <c r="R8" s="61">
        <f t="shared" si="0"/>
        <v>45231</v>
      </c>
      <c r="S8" s="61">
        <f t="shared" si="0"/>
        <v>45261</v>
      </c>
      <c r="T8" s="61">
        <f t="shared" si="0"/>
        <v>45292</v>
      </c>
      <c r="U8" s="61">
        <f t="shared" si="0"/>
        <v>45323</v>
      </c>
      <c r="V8" s="61">
        <f t="shared" si="0"/>
        <v>45352</v>
      </c>
      <c r="W8" s="61">
        <f t="shared" si="0"/>
        <v>45383</v>
      </c>
      <c r="X8" s="61">
        <f t="shared" si="0"/>
        <v>45413</v>
      </c>
      <c r="Y8" s="61">
        <f t="shared" si="0"/>
        <v>45444</v>
      </c>
      <c r="Z8" s="61">
        <f t="shared" si="0"/>
        <v>45474</v>
      </c>
      <c r="AA8" s="61">
        <f t="shared" si="0"/>
        <v>45505</v>
      </c>
      <c r="AB8" s="61">
        <f t="shared" si="0"/>
        <v>45536</v>
      </c>
      <c r="AC8" s="61">
        <f t="shared" si="0"/>
        <v>45566</v>
      </c>
      <c r="AD8" s="61">
        <f t="shared" si="0"/>
        <v>45597</v>
      </c>
      <c r="AE8" s="61">
        <f t="shared" si="0"/>
        <v>45627</v>
      </c>
      <c r="AF8" s="61">
        <f t="shared" si="0"/>
        <v>45658</v>
      </c>
      <c r="AG8" s="61">
        <f t="shared" si="0"/>
        <v>45689</v>
      </c>
      <c r="AH8" s="61">
        <f t="shared" si="0"/>
        <v>45717</v>
      </c>
      <c r="AI8" s="61">
        <f t="shared" si="0"/>
        <v>45748</v>
      </c>
      <c r="AJ8" s="61">
        <f t="shared" si="0"/>
        <v>45778</v>
      </c>
      <c r="AK8" s="61">
        <f t="shared" si="0"/>
        <v>45809</v>
      </c>
      <c r="AL8" s="61">
        <f t="shared" si="0"/>
        <v>45839</v>
      </c>
      <c r="AM8" s="61">
        <f t="shared" si="0"/>
        <v>45870</v>
      </c>
      <c r="AN8" s="61">
        <f t="shared" si="0"/>
        <v>45901</v>
      </c>
      <c r="AO8" s="61">
        <f t="shared" si="0"/>
        <v>45931</v>
      </c>
      <c r="AP8" s="61">
        <f t="shared" si="0"/>
        <v>45962</v>
      </c>
      <c r="AQ8" s="61">
        <f t="shared" si="0"/>
        <v>45992</v>
      </c>
      <c r="AR8" s="61">
        <f t="shared" si="0"/>
        <v>46023</v>
      </c>
      <c r="AS8" s="61">
        <f t="shared" si="0"/>
        <v>46054</v>
      </c>
      <c r="AT8" s="61">
        <f t="shared" si="0"/>
        <v>46082</v>
      </c>
      <c r="AU8" s="61">
        <f t="shared" si="0"/>
        <v>46113</v>
      </c>
      <c r="AV8" s="61">
        <f t="shared" si="0"/>
        <v>46143</v>
      </c>
      <c r="AW8" s="61">
        <f t="shared" si="0"/>
        <v>46174</v>
      </c>
      <c r="AX8" s="61">
        <f t="shared" si="0"/>
        <v>46204</v>
      </c>
      <c r="AY8" s="61">
        <f t="shared" si="0"/>
        <v>46235</v>
      </c>
      <c r="AZ8" s="61">
        <f t="shared" si="0"/>
        <v>46266</v>
      </c>
      <c r="BA8" s="61">
        <f t="shared" si="0"/>
        <v>46296</v>
      </c>
      <c r="BB8" s="61">
        <f t="shared" si="0"/>
        <v>46327</v>
      </c>
      <c r="BC8" s="61">
        <f t="shared" si="0"/>
        <v>46357</v>
      </c>
    </row>
    <row r="9" spans="1:55" ht="19.95" customHeight="1" x14ac:dyDescent="0.3">
      <c r="A9" s="62" cm="1">
        <f t="array" ref="A9">IFERROR(INDEX(_xlfn._xlws.FILTER(tbl_tasks[Final_Priority],(tbl_tasks[Project_ID]=$A$4)*IF($B$6="All",TRUE,tbl_tasks[Technology]=$B$6)),1),"")</f>
        <v>1</v>
      </c>
      <c r="B9" s="63" t="str" cm="1">
        <f t="array" ref="B9">IFERROR(INDEX(_xlfn._xlws.FILTER(tbl_tasks[Technology],(tbl_tasks[Project_ID]=$A$4)*IF($B$6="All",TRUE,tbl_tasks[Technology]=$B$6)),1),"")</f>
        <v>Multi-tech</v>
      </c>
      <c r="C9" s="63" t="str" cm="1">
        <f t="array" ref="C9">IFERROR(INDEX(_xlfn._xlws.FILTER(tbl_tasks[Task_Name],(tbl_tasks[Project_ID]=$A$4)*IF($B$6="All",TRUE,tbl_tasks[Technology]=$B$6)),1),"")</f>
        <v>Feasibility Study</v>
      </c>
      <c r="D9" s="64" cm="1">
        <f t="array" ref="D9">IFERROR(INDEX(_xlfn._xlws.FILTER(tbl_tasks[Start_Date],(tbl_tasks[Project_ID]=$A$4)*IF($B$6="All",TRUE,tbl_tasks[Technology]=$B$6)),1),"")</f>
        <v>44946</v>
      </c>
      <c r="E9" s="64" cm="1">
        <f t="array" ref="E9">IFERROR(INDEX(_xlfn._xlws.FILTER(tbl_tasks[End_Date],(tbl_tasks[Project_ID]=$A$4)*IF($B$6="All",TRUE,tbl_tasks[Technology]=$B$6)),1),"")</f>
        <v>45001</v>
      </c>
      <c r="F9" s="65" cm="1">
        <f t="array" ref="F9">IFERROR(INDEX(_xlfn._xlws.FILTER(tbl_tasks[Duration],(tbl_tasks[Project_ID]=$A$4)*IF($B$6="All",TRUE,tbl_tasks[Technology]=$B$6)),1),"")</f>
        <v>55</v>
      </c>
      <c r="G9" s="66" t="str" cm="1">
        <f t="array" ref="G9">IFERROR(INDEX(_xlfn._xlws.FILTER(tbl_tasks[Status],(tbl_tasks[Project_ID]=$A$4)*IF($B$6="All",TRUE,tbl_tasks[Technology]=$B$6)),1),"")</f>
        <v>Planned</v>
      </c>
      <c r="H9" s="67" t="str">
        <f>IF(AND($D9&lt;=EOMONTH(H$8,0),$E9&gt;=H$8),$B9,"")</f>
        <v>Multi-tech</v>
      </c>
      <c r="I9" s="67" t="str">
        <f t="shared" ref="I9:BC14" si="1">IF(AND($D9&lt;=EOMONTH(I$8,0),$E9&gt;=I$8),$B9,"")</f>
        <v>Multi-tech</v>
      </c>
      <c r="J9" s="67" t="str">
        <f t="shared" si="1"/>
        <v>Multi-tech</v>
      </c>
      <c r="K9" s="67" t="str">
        <f t="shared" si="1"/>
        <v/>
      </c>
      <c r="L9" s="67" t="str">
        <f t="shared" si="1"/>
        <v/>
      </c>
      <c r="M9" s="67" t="str">
        <f t="shared" si="1"/>
        <v/>
      </c>
      <c r="N9" s="67" t="str">
        <f t="shared" si="1"/>
        <v/>
      </c>
      <c r="O9" s="67" t="str">
        <f t="shared" si="1"/>
        <v/>
      </c>
      <c r="P9" s="67" t="str">
        <f t="shared" si="1"/>
        <v/>
      </c>
      <c r="Q9" s="67" t="str">
        <f t="shared" si="1"/>
        <v/>
      </c>
      <c r="R9" s="67" t="str">
        <f t="shared" si="1"/>
        <v/>
      </c>
      <c r="S9" s="67" t="str">
        <f t="shared" si="1"/>
        <v/>
      </c>
      <c r="T9" s="67" t="str">
        <f t="shared" si="1"/>
        <v/>
      </c>
      <c r="U9" s="67" t="str">
        <f t="shared" si="1"/>
        <v/>
      </c>
      <c r="V9" s="67" t="str">
        <f t="shared" si="1"/>
        <v/>
      </c>
      <c r="W9" s="67" t="str">
        <f t="shared" si="1"/>
        <v/>
      </c>
      <c r="X9" s="67" t="str">
        <f t="shared" si="1"/>
        <v/>
      </c>
      <c r="Y9" s="67" t="str">
        <f t="shared" si="1"/>
        <v/>
      </c>
      <c r="Z9" s="67" t="str">
        <f t="shared" si="1"/>
        <v/>
      </c>
      <c r="AA9" s="67" t="str">
        <f t="shared" si="1"/>
        <v/>
      </c>
      <c r="AB9" s="67" t="str">
        <f t="shared" si="1"/>
        <v/>
      </c>
      <c r="AC9" s="67" t="str">
        <f t="shared" si="1"/>
        <v/>
      </c>
      <c r="AD9" s="67" t="str">
        <f t="shared" si="1"/>
        <v/>
      </c>
      <c r="AE9" s="67" t="str">
        <f t="shared" si="1"/>
        <v/>
      </c>
      <c r="AF9" s="67" t="str">
        <f t="shared" si="1"/>
        <v/>
      </c>
      <c r="AG9" s="67" t="str">
        <f t="shared" si="1"/>
        <v/>
      </c>
      <c r="AH9" s="67" t="str">
        <f t="shared" si="1"/>
        <v/>
      </c>
      <c r="AI9" s="67" t="str">
        <f t="shared" si="1"/>
        <v/>
      </c>
      <c r="AJ9" s="67" t="str">
        <f t="shared" si="1"/>
        <v/>
      </c>
      <c r="AK9" s="67" t="str">
        <f t="shared" si="1"/>
        <v/>
      </c>
      <c r="AL9" s="67" t="str">
        <f t="shared" si="1"/>
        <v/>
      </c>
      <c r="AM9" s="67" t="str">
        <f t="shared" si="1"/>
        <v/>
      </c>
      <c r="AN9" s="67" t="str">
        <f t="shared" si="1"/>
        <v/>
      </c>
      <c r="AO9" s="67" t="str">
        <f t="shared" si="1"/>
        <v/>
      </c>
      <c r="AP9" s="67" t="str">
        <f t="shared" si="1"/>
        <v/>
      </c>
      <c r="AQ9" s="67" t="str">
        <f t="shared" si="1"/>
        <v/>
      </c>
      <c r="AR9" s="67" t="str">
        <f t="shared" si="1"/>
        <v/>
      </c>
      <c r="AS9" s="67" t="str">
        <f t="shared" si="1"/>
        <v/>
      </c>
      <c r="AT9" s="67" t="str">
        <f t="shared" si="1"/>
        <v/>
      </c>
      <c r="AU9" s="68" t="str">
        <f t="shared" si="1"/>
        <v/>
      </c>
      <c r="AV9" s="69" t="str">
        <f t="shared" si="1"/>
        <v/>
      </c>
      <c r="AW9" s="67" t="str">
        <f t="shared" si="1"/>
        <v/>
      </c>
      <c r="AX9" s="67" t="str">
        <f t="shared" si="1"/>
        <v/>
      </c>
      <c r="AY9" s="67" t="str">
        <f t="shared" si="1"/>
        <v/>
      </c>
      <c r="AZ9" s="67" t="str">
        <f t="shared" si="1"/>
        <v/>
      </c>
      <c r="BA9" s="67" t="str">
        <f t="shared" si="1"/>
        <v/>
      </c>
      <c r="BB9" s="67" t="str">
        <f t="shared" si="1"/>
        <v/>
      </c>
      <c r="BC9" s="67" t="str">
        <f t="shared" si="1"/>
        <v/>
      </c>
    </row>
    <row r="10" spans="1:55" ht="19.95" customHeight="1" x14ac:dyDescent="0.3">
      <c r="A10" s="62" cm="1">
        <f t="array" ref="A10">IFERROR(INDEX(_xlfn._xlws.FILTER(tbl_tasks[Final_Priority],(tbl_tasks[Project_ID]=$A$4)*IF($B$6="All",TRUE,tbl_tasks[Technology]=$B$6)),2),"")</f>
        <v>2</v>
      </c>
      <c r="B10" s="63" t="str" cm="1">
        <f t="array" ref="B10">IFERROR(INDEX(_xlfn._xlws.FILTER(tbl_tasks[Technology],(tbl_tasks[Project_ID]=$A$4)*IF($B$6="All",TRUE,tbl_tasks[Technology]=$B$6)),2),"")</f>
        <v>Multi-tech</v>
      </c>
      <c r="C10" s="63" t="str" cm="1">
        <f t="array" ref="C10">IFERROR(INDEX(_xlfn._xlws.FILTER(tbl_tasks[Task_Name],(tbl_tasks[Project_ID]=$A$4)*IF($B$6="All",TRUE,tbl_tasks[Technology]=$B$6)),2),"")</f>
        <v>Environmental Impact</v>
      </c>
      <c r="D10" s="64" cm="1">
        <f t="array" ref="D10">IFERROR(INDEX(_xlfn._xlws.FILTER(tbl_tasks[Start_Date],(tbl_tasks[Project_ID]=$A$4)*IF($B$6="All",TRUE,tbl_tasks[Technology]=$B$6)),2),"")</f>
        <v>45001</v>
      </c>
      <c r="E10" s="64" cm="1">
        <f t="array" ref="E10">IFERROR(INDEX(_xlfn._xlws.FILTER(tbl_tasks[End_Date],(tbl_tasks[Project_ID]=$A$4)*IF($B$6="All",TRUE,tbl_tasks[Technology]=$B$6)),2),"")</f>
        <v>45056</v>
      </c>
      <c r="F10" s="65" cm="1">
        <f t="array" ref="F10">IFERROR(INDEX(_xlfn._xlws.FILTER(tbl_tasks[Duration],(tbl_tasks[Project_ID]=$A$4)*IF($B$6="All",TRUE,tbl_tasks[Technology]=$B$6)),2),"")</f>
        <v>55</v>
      </c>
      <c r="G10" s="66" t="str" cm="1">
        <f t="array" ref="G10">IFERROR(INDEX(_xlfn._xlws.FILTER(tbl_tasks[Status],(tbl_tasks[Project_ID]=$A$4)*IF($B$6="All",TRUE,tbl_tasks[Technology]=$B$6)),2),"")</f>
        <v>Planned</v>
      </c>
      <c r="H10" s="67" t="str">
        <f t="shared" ref="H10:W30" si="2">IF(AND($D10&lt;=EOMONTH(H$8,0),$E10&gt;=H$8),$B10,"")</f>
        <v/>
      </c>
      <c r="I10" s="67" t="str">
        <f t="shared" si="1"/>
        <v/>
      </c>
      <c r="J10" s="67" t="str">
        <f t="shared" si="1"/>
        <v>Multi-tech</v>
      </c>
      <c r="K10" s="67" t="str">
        <f t="shared" si="1"/>
        <v>Multi-tech</v>
      </c>
      <c r="L10" s="67" t="str">
        <f t="shared" si="1"/>
        <v>Multi-tech</v>
      </c>
      <c r="M10" s="67" t="str">
        <f t="shared" si="1"/>
        <v/>
      </c>
      <c r="N10" s="67" t="str">
        <f t="shared" si="1"/>
        <v/>
      </c>
      <c r="O10" s="67" t="str">
        <f t="shared" si="1"/>
        <v/>
      </c>
      <c r="P10" s="67" t="str">
        <f t="shared" si="1"/>
        <v/>
      </c>
      <c r="Q10" s="67" t="str">
        <f t="shared" si="1"/>
        <v/>
      </c>
      <c r="R10" s="67" t="str">
        <f t="shared" si="1"/>
        <v/>
      </c>
      <c r="S10" s="67" t="str">
        <f t="shared" si="1"/>
        <v/>
      </c>
      <c r="T10" s="67" t="str">
        <f t="shared" si="1"/>
        <v/>
      </c>
      <c r="U10" s="67" t="str">
        <f t="shared" si="1"/>
        <v/>
      </c>
      <c r="V10" s="67" t="str">
        <f t="shared" si="1"/>
        <v/>
      </c>
      <c r="W10" s="67" t="str">
        <f t="shared" si="1"/>
        <v/>
      </c>
      <c r="X10" s="67" t="str">
        <f t="shared" si="1"/>
        <v/>
      </c>
      <c r="Y10" s="67" t="str">
        <f t="shared" si="1"/>
        <v/>
      </c>
      <c r="Z10" s="67" t="str">
        <f t="shared" si="1"/>
        <v/>
      </c>
      <c r="AA10" s="67" t="str">
        <f t="shared" si="1"/>
        <v/>
      </c>
      <c r="AB10" s="67" t="str">
        <f t="shared" si="1"/>
        <v/>
      </c>
      <c r="AC10" s="67" t="str">
        <f t="shared" si="1"/>
        <v/>
      </c>
      <c r="AD10" s="67" t="str">
        <f t="shared" si="1"/>
        <v/>
      </c>
      <c r="AE10" s="67" t="str">
        <f t="shared" si="1"/>
        <v/>
      </c>
      <c r="AF10" s="67" t="str">
        <f t="shared" si="1"/>
        <v/>
      </c>
      <c r="AG10" s="67" t="str">
        <f t="shared" si="1"/>
        <v/>
      </c>
      <c r="AH10" s="67" t="str">
        <f t="shared" si="1"/>
        <v/>
      </c>
      <c r="AI10" s="67" t="str">
        <f t="shared" si="1"/>
        <v/>
      </c>
      <c r="AJ10" s="67" t="str">
        <f t="shared" si="1"/>
        <v/>
      </c>
      <c r="AK10" s="67" t="str">
        <f t="shared" si="1"/>
        <v/>
      </c>
      <c r="AL10" s="67" t="str">
        <f t="shared" si="1"/>
        <v/>
      </c>
      <c r="AM10" s="67" t="str">
        <f t="shared" si="1"/>
        <v/>
      </c>
      <c r="AN10" s="67" t="str">
        <f t="shared" si="1"/>
        <v/>
      </c>
      <c r="AO10" s="67" t="str">
        <f t="shared" si="1"/>
        <v/>
      </c>
      <c r="AP10" s="67" t="str">
        <f t="shared" si="1"/>
        <v/>
      </c>
      <c r="AQ10" s="67" t="str">
        <f t="shared" si="1"/>
        <v/>
      </c>
      <c r="AR10" s="67" t="str">
        <f t="shared" si="1"/>
        <v/>
      </c>
      <c r="AS10" s="67" t="str">
        <f t="shared" si="1"/>
        <v/>
      </c>
      <c r="AT10" s="67" t="str">
        <f t="shared" si="1"/>
        <v/>
      </c>
      <c r="AU10" s="68" t="str">
        <f t="shared" si="1"/>
        <v/>
      </c>
      <c r="AV10" s="69" t="str">
        <f t="shared" si="1"/>
        <v/>
      </c>
      <c r="AW10" s="67" t="str">
        <f t="shared" si="1"/>
        <v/>
      </c>
      <c r="AX10" s="67" t="str">
        <f t="shared" si="1"/>
        <v/>
      </c>
      <c r="AY10" s="67" t="str">
        <f t="shared" si="1"/>
        <v/>
      </c>
      <c r="AZ10" s="67" t="str">
        <f t="shared" si="1"/>
        <v/>
      </c>
      <c r="BA10" s="67" t="str">
        <f t="shared" si="1"/>
        <v/>
      </c>
      <c r="BB10" s="67" t="str">
        <f t="shared" si="1"/>
        <v/>
      </c>
      <c r="BC10" s="67" t="str">
        <f t="shared" si="1"/>
        <v/>
      </c>
    </row>
    <row r="11" spans="1:55" ht="19.95" customHeight="1" x14ac:dyDescent="0.3">
      <c r="A11" s="62" cm="1">
        <f t="array" ref="A11">IFERROR(INDEX(_xlfn._xlws.FILTER(tbl_tasks[Final_Priority],(tbl_tasks[Project_ID]=$A$4)*IF($B$6="All",TRUE,tbl_tasks[Technology]=$B$6)),3),"")</f>
        <v>3</v>
      </c>
      <c r="B11" s="63" t="str" cm="1">
        <f t="array" ref="B11">IFERROR(INDEX(_xlfn._xlws.FILTER(tbl_tasks[Technology],(tbl_tasks[Project_ID]=$A$4)*IF($B$6="All",TRUE,tbl_tasks[Technology]=$B$6)),3),"")</f>
        <v>Multi-tech</v>
      </c>
      <c r="C11" s="63" t="str" cm="1">
        <f t="array" ref="C11">IFERROR(INDEX(_xlfn._xlws.FILTER(tbl_tasks[Task_Name],(tbl_tasks[Project_ID]=$A$4)*IF($B$6="All",TRUE,tbl_tasks[Technology]=$B$6)),3),"")</f>
        <v>Assessment</v>
      </c>
      <c r="D11" s="64" cm="1">
        <f t="array" ref="D11">IFERROR(INDEX(_xlfn._xlws.FILTER(tbl_tasks[Start_Date],(tbl_tasks[Project_ID]=$A$4)*IF($B$6="All",TRUE,tbl_tasks[Technology]=$B$6)),3),"")</f>
        <v>45056</v>
      </c>
      <c r="E11" s="64" cm="1">
        <f t="array" ref="E11">IFERROR(INDEX(_xlfn._xlws.FILTER(tbl_tasks[End_Date],(tbl_tasks[Project_ID]=$A$4)*IF($B$6="All",TRUE,tbl_tasks[Technology]=$B$6)),3),"")</f>
        <v>45111</v>
      </c>
      <c r="F11" s="65" cm="1">
        <f t="array" ref="F11">IFERROR(INDEX(_xlfn._xlws.FILTER(tbl_tasks[Duration],(tbl_tasks[Project_ID]=$A$4)*IF($B$6="All",TRUE,tbl_tasks[Technology]=$B$6)),3),"")</f>
        <v>55</v>
      </c>
      <c r="G11" s="66" t="str" cm="1">
        <f t="array" ref="G11">IFERROR(INDEX(_xlfn._xlws.FILTER(tbl_tasks[Status],(tbl_tasks[Project_ID]=$A$4)*IF($B$6="All",TRUE,tbl_tasks[Technology]=$B$6)),3),"")</f>
        <v>Planned</v>
      </c>
      <c r="H11" s="67" t="str">
        <f t="shared" si="2"/>
        <v/>
      </c>
      <c r="I11" s="67" t="str">
        <f t="shared" si="1"/>
        <v/>
      </c>
      <c r="J11" s="67" t="str">
        <f t="shared" si="1"/>
        <v/>
      </c>
      <c r="K11" s="67" t="str">
        <f t="shared" si="1"/>
        <v/>
      </c>
      <c r="L11" s="67" t="str">
        <f t="shared" si="1"/>
        <v>Multi-tech</v>
      </c>
      <c r="M11" s="67" t="str">
        <f t="shared" si="1"/>
        <v>Multi-tech</v>
      </c>
      <c r="N11" s="67" t="str">
        <f t="shared" si="1"/>
        <v>Multi-tech</v>
      </c>
      <c r="O11" s="67" t="str">
        <f t="shared" si="1"/>
        <v/>
      </c>
      <c r="P11" s="67" t="str">
        <f t="shared" si="1"/>
        <v/>
      </c>
      <c r="Q11" s="67" t="str">
        <f t="shared" si="1"/>
        <v/>
      </c>
      <c r="R11" s="67" t="str">
        <f t="shared" si="1"/>
        <v/>
      </c>
      <c r="S11" s="67" t="str">
        <f t="shared" si="1"/>
        <v/>
      </c>
      <c r="T11" s="67" t="str">
        <f t="shared" si="1"/>
        <v/>
      </c>
      <c r="U11" s="67" t="str">
        <f t="shared" si="1"/>
        <v/>
      </c>
      <c r="V11" s="67" t="str">
        <f t="shared" si="1"/>
        <v/>
      </c>
      <c r="W11" s="67" t="str">
        <f t="shared" si="1"/>
        <v/>
      </c>
      <c r="X11" s="67" t="str">
        <f t="shared" si="1"/>
        <v/>
      </c>
      <c r="Y11" s="67" t="str">
        <f t="shared" si="1"/>
        <v/>
      </c>
      <c r="Z11" s="67" t="str">
        <f t="shared" si="1"/>
        <v/>
      </c>
      <c r="AA11" s="67" t="str">
        <f t="shared" si="1"/>
        <v/>
      </c>
      <c r="AB11" s="67" t="str">
        <f t="shared" si="1"/>
        <v/>
      </c>
      <c r="AC11" s="67" t="str">
        <f t="shared" si="1"/>
        <v/>
      </c>
      <c r="AD11" s="67" t="str">
        <f t="shared" si="1"/>
        <v/>
      </c>
      <c r="AE11" s="67" t="str">
        <f t="shared" si="1"/>
        <v/>
      </c>
      <c r="AF11" s="67" t="str">
        <f t="shared" si="1"/>
        <v/>
      </c>
      <c r="AG11" s="67" t="str">
        <f t="shared" si="1"/>
        <v/>
      </c>
      <c r="AH11" s="67" t="str">
        <f t="shared" si="1"/>
        <v/>
      </c>
      <c r="AI11" s="67" t="str">
        <f t="shared" si="1"/>
        <v/>
      </c>
      <c r="AJ11" s="67" t="str">
        <f t="shared" si="1"/>
        <v/>
      </c>
      <c r="AK11" s="67" t="str">
        <f t="shared" si="1"/>
        <v/>
      </c>
      <c r="AL11" s="67" t="str">
        <f t="shared" si="1"/>
        <v/>
      </c>
      <c r="AM11" s="67" t="str">
        <f t="shared" si="1"/>
        <v/>
      </c>
      <c r="AN11" s="67" t="str">
        <f t="shared" si="1"/>
        <v/>
      </c>
      <c r="AO11" s="67" t="str">
        <f t="shared" si="1"/>
        <v/>
      </c>
      <c r="AP11" s="67" t="str">
        <f t="shared" si="1"/>
        <v/>
      </c>
      <c r="AQ11" s="67" t="str">
        <f t="shared" si="1"/>
        <v/>
      </c>
      <c r="AR11" s="67" t="str">
        <f t="shared" si="1"/>
        <v/>
      </c>
      <c r="AS11" s="67" t="str">
        <f t="shared" si="1"/>
        <v/>
      </c>
      <c r="AT11" s="67" t="str">
        <f t="shared" si="1"/>
        <v/>
      </c>
      <c r="AU11" s="68" t="str">
        <f t="shared" si="1"/>
        <v/>
      </c>
      <c r="AV11" s="69" t="str">
        <f t="shared" si="1"/>
        <v/>
      </c>
      <c r="AW11" s="67" t="str">
        <f t="shared" si="1"/>
        <v/>
      </c>
      <c r="AX11" s="67" t="str">
        <f t="shared" si="1"/>
        <v/>
      </c>
      <c r="AY11" s="67" t="str">
        <f t="shared" si="1"/>
        <v/>
      </c>
      <c r="AZ11" s="67" t="str">
        <f t="shared" si="1"/>
        <v/>
      </c>
      <c r="BA11" s="67" t="str">
        <f t="shared" si="1"/>
        <v/>
      </c>
      <c r="BB11" s="67" t="str">
        <f t="shared" si="1"/>
        <v/>
      </c>
      <c r="BC11" s="67" t="str">
        <f t="shared" si="1"/>
        <v/>
      </c>
    </row>
    <row r="12" spans="1:55" ht="19.95" customHeight="1" x14ac:dyDescent="0.3">
      <c r="A12" s="62" cm="1">
        <f t="array" ref="A12">IFERROR(INDEX(_xlfn._xlws.FILTER(tbl_tasks[Final_Priority],(tbl_tasks[Project_ID]=$A$4)*IF($B$6="All",TRUE,tbl_tasks[Technology]=$B$6)),4),"")</f>
        <v>4</v>
      </c>
      <c r="B12" s="63" t="str" cm="1">
        <f t="array" ref="B12">IFERROR(INDEX(_xlfn._xlws.FILTER(tbl_tasks[Technology],(tbl_tasks[Project_ID]=$A$4)*IF($B$6="All",TRUE,tbl_tasks[Technology]=$B$6)),4),"")</f>
        <v>Multi-tech</v>
      </c>
      <c r="C12" s="63" t="str" cm="1">
        <f t="array" ref="C12">IFERROR(INDEX(_xlfn._xlws.FILTER(tbl_tasks[Task_Name],(tbl_tasks[Project_ID]=$A$4)*IF($B$6="All",TRUE,tbl_tasks[Technology]=$B$6)),4),"")</f>
        <v>Permitting</v>
      </c>
      <c r="D12" s="64" cm="1">
        <f t="array" ref="D12">IFERROR(INDEX(_xlfn._xlws.FILTER(tbl_tasks[Start_Date],(tbl_tasks[Project_ID]=$A$4)*IF($B$6="All",TRUE,tbl_tasks[Technology]=$B$6)),4),"")</f>
        <v>45111</v>
      </c>
      <c r="E12" s="64" cm="1">
        <f t="array" ref="E12">IFERROR(INDEX(_xlfn._xlws.FILTER(tbl_tasks[End_Date],(tbl_tasks[Project_ID]=$A$4)*IF($B$6="All",TRUE,tbl_tasks[Technology]=$B$6)),4),"")</f>
        <v>45166</v>
      </c>
      <c r="F12" s="65" cm="1">
        <f t="array" ref="F12">IFERROR(INDEX(_xlfn._xlws.FILTER(tbl_tasks[Duration],(tbl_tasks[Project_ID]=$A$4)*IF($B$6="All",TRUE,tbl_tasks[Technology]=$B$6)),4),"")</f>
        <v>55</v>
      </c>
      <c r="G12" s="66" t="str" cm="1">
        <f t="array" ref="G12">IFERROR(INDEX(_xlfn._xlws.FILTER(tbl_tasks[Status],(tbl_tasks[Project_ID]=$A$4)*IF($B$6="All",TRUE,tbl_tasks[Technology]=$B$6)),4),"")</f>
        <v>Planned</v>
      </c>
      <c r="H12" s="67" t="str">
        <f t="shared" si="2"/>
        <v/>
      </c>
      <c r="I12" s="67" t="str">
        <f t="shared" si="1"/>
        <v/>
      </c>
      <c r="J12" s="67" t="str">
        <f t="shared" si="1"/>
        <v/>
      </c>
      <c r="K12" s="67" t="str">
        <f t="shared" si="1"/>
        <v/>
      </c>
      <c r="L12" s="67" t="str">
        <f t="shared" si="1"/>
        <v/>
      </c>
      <c r="M12" s="67" t="str">
        <f t="shared" si="1"/>
        <v/>
      </c>
      <c r="N12" s="67" t="str">
        <f t="shared" si="1"/>
        <v>Multi-tech</v>
      </c>
      <c r="O12" s="67" t="str">
        <f t="shared" si="1"/>
        <v>Multi-tech</v>
      </c>
      <c r="P12" s="67" t="str">
        <f t="shared" si="1"/>
        <v/>
      </c>
      <c r="Q12" s="67" t="str">
        <f t="shared" si="1"/>
        <v/>
      </c>
      <c r="R12" s="67" t="str">
        <f t="shared" si="1"/>
        <v/>
      </c>
      <c r="S12" s="67" t="str">
        <f t="shared" si="1"/>
        <v/>
      </c>
      <c r="T12" s="67" t="str">
        <f t="shared" si="1"/>
        <v/>
      </c>
      <c r="U12" s="67" t="str">
        <f t="shared" si="1"/>
        <v/>
      </c>
      <c r="V12" s="67" t="str">
        <f t="shared" si="1"/>
        <v/>
      </c>
      <c r="W12" s="67" t="str">
        <f t="shared" si="1"/>
        <v/>
      </c>
      <c r="X12" s="67" t="str">
        <f t="shared" si="1"/>
        <v/>
      </c>
      <c r="Y12" s="67" t="str">
        <f t="shared" si="1"/>
        <v/>
      </c>
      <c r="Z12" s="67" t="str">
        <f t="shared" si="1"/>
        <v/>
      </c>
      <c r="AA12" s="67" t="str">
        <f t="shared" si="1"/>
        <v/>
      </c>
      <c r="AB12" s="67" t="str">
        <f t="shared" si="1"/>
        <v/>
      </c>
      <c r="AC12" s="67" t="str">
        <f t="shared" si="1"/>
        <v/>
      </c>
      <c r="AD12" s="67" t="str">
        <f t="shared" si="1"/>
        <v/>
      </c>
      <c r="AE12" s="67" t="str">
        <f t="shared" si="1"/>
        <v/>
      </c>
      <c r="AF12" s="67" t="str">
        <f t="shared" si="1"/>
        <v/>
      </c>
      <c r="AG12" s="67" t="str">
        <f t="shared" si="1"/>
        <v/>
      </c>
      <c r="AH12" s="67" t="str">
        <f t="shared" si="1"/>
        <v/>
      </c>
      <c r="AI12" s="67" t="str">
        <f t="shared" si="1"/>
        <v/>
      </c>
      <c r="AJ12" s="67" t="str">
        <f t="shared" si="1"/>
        <v/>
      </c>
      <c r="AK12" s="67" t="str">
        <f t="shared" si="1"/>
        <v/>
      </c>
      <c r="AL12" s="67" t="str">
        <f t="shared" si="1"/>
        <v/>
      </c>
      <c r="AM12" s="67" t="str">
        <f t="shared" si="1"/>
        <v/>
      </c>
      <c r="AN12" s="67" t="str">
        <f t="shared" si="1"/>
        <v/>
      </c>
      <c r="AO12" s="67" t="str">
        <f t="shared" si="1"/>
        <v/>
      </c>
      <c r="AP12" s="67" t="str">
        <f t="shared" si="1"/>
        <v/>
      </c>
      <c r="AQ12" s="67" t="str">
        <f t="shared" si="1"/>
        <v/>
      </c>
      <c r="AR12" s="67" t="str">
        <f t="shared" si="1"/>
        <v/>
      </c>
      <c r="AS12" s="67" t="str">
        <f t="shared" si="1"/>
        <v/>
      </c>
      <c r="AT12" s="67" t="str">
        <f t="shared" si="1"/>
        <v/>
      </c>
      <c r="AU12" s="68" t="str">
        <f t="shared" si="1"/>
        <v/>
      </c>
      <c r="AV12" s="69" t="str">
        <f t="shared" si="1"/>
        <v/>
      </c>
      <c r="AW12" s="67" t="str">
        <f t="shared" si="1"/>
        <v/>
      </c>
      <c r="AX12" s="67" t="str">
        <f t="shared" si="1"/>
        <v/>
      </c>
      <c r="AY12" s="67" t="str">
        <f t="shared" si="1"/>
        <v/>
      </c>
      <c r="AZ12" s="67" t="str">
        <f t="shared" si="1"/>
        <v/>
      </c>
      <c r="BA12" s="67" t="str">
        <f t="shared" si="1"/>
        <v/>
      </c>
      <c r="BB12" s="67" t="str">
        <f t="shared" si="1"/>
        <v/>
      </c>
      <c r="BC12" s="67" t="str">
        <f t="shared" si="1"/>
        <v/>
      </c>
    </row>
    <row r="13" spans="1:55" ht="19.95" customHeight="1" x14ac:dyDescent="0.3">
      <c r="A13" s="62" cm="1">
        <f t="array" ref="A13">IFERROR(INDEX(_xlfn._xlws.FILTER(tbl_tasks[Final_Priority],(tbl_tasks[Project_ID]=$A$4)*IF($B$6="All",TRUE,tbl_tasks[Technology]=$B$6)),5),"")</f>
        <v>5</v>
      </c>
      <c r="B13" s="63" t="str" cm="1">
        <f t="array" ref="B13">IFERROR(INDEX(_xlfn._xlws.FILTER(tbl_tasks[Technology],(tbl_tasks[Project_ID]=$A$4)*IF($B$6="All",TRUE,tbl_tasks[Technology]=$B$6)),5),"")</f>
        <v>Multi-tech</v>
      </c>
      <c r="C13" s="63" t="str" cm="1">
        <f t="array" ref="C13">IFERROR(INDEX(_xlfn._xlws.FILTER(tbl_tasks[Task_Name],(tbl_tasks[Project_ID]=$A$4)*IF($B$6="All",TRUE,tbl_tasks[Technology]=$B$6)),5),"")</f>
        <v>Engineering</v>
      </c>
      <c r="D13" s="64" cm="1">
        <f t="array" ref="D13">IFERROR(INDEX(_xlfn._xlws.FILTER(tbl_tasks[Start_Date],(tbl_tasks[Project_ID]=$A$4)*IF($B$6="All",TRUE,tbl_tasks[Technology]=$B$6)),5),"")</f>
        <v>45166</v>
      </c>
      <c r="E13" s="64" cm="1">
        <f t="array" ref="E13">IFERROR(INDEX(_xlfn._xlws.FILTER(tbl_tasks[End_Date],(tbl_tasks[Project_ID]=$A$4)*IF($B$6="All",TRUE,tbl_tasks[Technology]=$B$6)),5),"")</f>
        <v>45221</v>
      </c>
      <c r="F13" s="65" cm="1">
        <f t="array" ref="F13">IFERROR(INDEX(_xlfn._xlws.FILTER(tbl_tasks[Duration],(tbl_tasks[Project_ID]=$A$4)*IF($B$6="All",TRUE,tbl_tasks[Technology]=$B$6)),5),"")</f>
        <v>55</v>
      </c>
      <c r="G13" s="66" t="str" cm="1">
        <f t="array" ref="G13">IFERROR(INDEX(_xlfn._xlws.FILTER(tbl_tasks[Status],(tbl_tasks[Project_ID]=$A$4)*IF($B$6="All",TRUE,tbl_tasks[Technology]=$B$6)),5),"")</f>
        <v>Planned</v>
      </c>
      <c r="H13" s="67" t="str">
        <f t="shared" si="2"/>
        <v/>
      </c>
      <c r="I13" s="67" t="str">
        <f t="shared" si="1"/>
        <v/>
      </c>
      <c r="J13" s="67" t="str">
        <f t="shared" si="1"/>
        <v/>
      </c>
      <c r="K13" s="67" t="str">
        <f t="shared" si="1"/>
        <v/>
      </c>
      <c r="L13" s="67" t="str">
        <f t="shared" si="1"/>
        <v/>
      </c>
      <c r="M13" s="67" t="str">
        <f t="shared" si="1"/>
        <v/>
      </c>
      <c r="N13" s="67" t="str">
        <f t="shared" si="1"/>
        <v/>
      </c>
      <c r="O13" s="67" t="str">
        <f t="shared" si="1"/>
        <v>Multi-tech</v>
      </c>
      <c r="P13" s="67" t="str">
        <f t="shared" si="1"/>
        <v>Multi-tech</v>
      </c>
      <c r="Q13" s="67" t="str">
        <f t="shared" si="1"/>
        <v>Multi-tech</v>
      </c>
      <c r="R13" s="67" t="str">
        <f t="shared" si="1"/>
        <v/>
      </c>
      <c r="S13" s="67" t="str">
        <f t="shared" si="1"/>
        <v/>
      </c>
      <c r="T13" s="67" t="str">
        <f t="shared" si="1"/>
        <v/>
      </c>
      <c r="U13" s="67" t="str">
        <f t="shared" si="1"/>
        <v/>
      </c>
      <c r="V13" s="67" t="str">
        <f t="shared" si="1"/>
        <v/>
      </c>
      <c r="W13" s="67" t="str">
        <f t="shared" si="1"/>
        <v/>
      </c>
      <c r="X13" s="67" t="str">
        <f t="shared" si="1"/>
        <v/>
      </c>
      <c r="Y13" s="67" t="str">
        <f t="shared" si="1"/>
        <v/>
      </c>
      <c r="Z13" s="67" t="str">
        <f t="shared" si="1"/>
        <v/>
      </c>
      <c r="AA13" s="67" t="str">
        <f t="shared" si="1"/>
        <v/>
      </c>
      <c r="AB13" s="67" t="str">
        <f t="shared" si="1"/>
        <v/>
      </c>
      <c r="AC13" s="67" t="str">
        <f t="shared" si="1"/>
        <v/>
      </c>
      <c r="AD13" s="67" t="str">
        <f t="shared" si="1"/>
        <v/>
      </c>
      <c r="AE13" s="67" t="str">
        <f t="shared" si="1"/>
        <v/>
      </c>
      <c r="AF13" s="67" t="str">
        <f t="shared" si="1"/>
        <v/>
      </c>
      <c r="AG13" s="67" t="str">
        <f t="shared" si="1"/>
        <v/>
      </c>
      <c r="AH13" s="67" t="str">
        <f t="shared" si="1"/>
        <v/>
      </c>
      <c r="AI13" s="67" t="str">
        <f t="shared" si="1"/>
        <v/>
      </c>
      <c r="AJ13" s="67" t="str">
        <f t="shared" si="1"/>
        <v/>
      </c>
      <c r="AK13" s="67" t="str">
        <f t="shared" si="1"/>
        <v/>
      </c>
      <c r="AL13" s="67" t="str">
        <f t="shared" si="1"/>
        <v/>
      </c>
      <c r="AM13" s="67" t="str">
        <f t="shared" si="1"/>
        <v/>
      </c>
      <c r="AN13" s="67" t="str">
        <f t="shared" si="1"/>
        <v/>
      </c>
      <c r="AO13" s="67" t="str">
        <f t="shared" si="1"/>
        <v/>
      </c>
      <c r="AP13" s="67" t="str">
        <f t="shared" si="1"/>
        <v/>
      </c>
      <c r="AQ13" s="67" t="str">
        <f t="shared" si="1"/>
        <v/>
      </c>
      <c r="AR13" s="67" t="str">
        <f t="shared" si="1"/>
        <v/>
      </c>
      <c r="AS13" s="67" t="str">
        <f t="shared" si="1"/>
        <v/>
      </c>
      <c r="AT13" s="67" t="str">
        <f t="shared" si="1"/>
        <v/>
      </c>
      <c r="AU13" s="68" t="str">
        <f t="shared" si="1"/>
        <v/>
      </c>
      <c r="AV13" s="69" t="str">
        <f t="shared" si="1"/>
        <v/>
      </c>
      <c r="AW13" s="67" t="str">
        <f t="shared" si="1"/>
        <v/>
      </c>
      <c r="AX13" s="67" t="str">
        <f t="shared" si="1"/>
        <v/>
      </c>
      <c r="AY13" s="67" t="str">
        <f t="shared" si="1"/>
        <v/>
      </c>
      <c r="AZ13" s="67" t="str">
        <f t="shared" si="1"/>
        <v/>
      </c>
      <c r="BA13" s="67" t="str">
        <f t="shared" si="1"/>
        <v/>
      </c>
      <c r="BB13" s="67" t="str">
        <f t="shared" si="1"/>
        <v/>
      </c>
      <c r="BC13" s="67" t="str">
        <f t="shared" si="1"/>
        <v/>
      </c>
    </row>
    <row r="14" spans="1:55" ht="19.95" customHeight="1" x14ac:dyDescent="0.3">
      <c r="A14" s="62" cm="1">
        <f t="array" ref="A14">IFERROR(INDEX(_xlfn._xlws.FILTER(tbl_tasks[Final_Priority],(tbl_tasks[Project_ID]=$A$4)*IF($B$6="All",TRUE,tbl_tasks[Technology]=$B$6)),6),"")</f>
        <v>6</v>
      </c>
      <c r="B14" s="63" t="str" cm="1">
        <f t="array" ref="B14">IFERROR(INDEX(_xlfn._xlws.FILTER(tbl_tasks[Technology],(tbl_tasks[Project_ID]=$A$4)*IF($B$6="All",TRUE,tbl_tasks[Technology]=$B$6)),6),"")</f>
        <v>Multi-tech</v>
      </c>
      <c r="C14" s="63" t="str" cm="1">
        <f t="array" ref="C14">IFERROR(INDEX(_xlfn._xlws.FILTER(tbl_tasks[Task_Name],(tbl_tasks[Project_ID]=$A$4)*IF($B$6="All",TRUE,tbl_tasks[Technology]=$B$6)),6),"")</f>
        <v>Procurement</v>
      </c>
      <c r="D14" s="64" cm="1">
        <f t="array" ref="D14">IFERROR(INDEX(_xlfn._xlws.FILTER(tbl_tasks[Start_Date],(tbl_tasks[Project_ID]=$A$4)*IF($B$6="All",TRUE,tbl_tasks[Technology]=$B$6)),6),"")</f>
        <v>45221</v>
      </c>
      <c r="E14" s="64" cm="1">
        <f t="array" ref="E14">IFERROR(INDEX(_xlfn._xlws.FILTER(tbl_tasks[End_Date],(tbl_tasks[Project_ID]=$A$4)*IF($B$6="All",TRUE,tbl_tasks[Technology]=$B$6)),6),"")</f>
        <v>45276</v>
      </c>
      <c r="F14" s="65" cm="1">
        <f t="array" ref="F14">IFERROR(INDEX(_xlfn._xlws.FILTER(tbl_tasks[Duration],(tbl_tasks[Project_ID]=$A$4)*IF($B$6="All",TRUE,tbl_tasks[Technology]=$B$6)),6),"")</f>
        <v>55</v>
      </c>
      <c r="G14" s="66" t="str" cm="1">
        <f t="array" ref="G14">IFERROR(INDEX(_xlfn._xlws.FILTER(tbl_tasks[Status],(tbl_tasks[Project_ID]=$A$4)*IF($B$6="All",TRUE,tbl_tasks[Technology]=$B$6)),6),"")</f>
        <v>Planned</v>
      </c>
      <c r="H14" s="67" t="str">
        <f t="shared" si="2"/>
        <v/>
      </c>
      <c r="I14" s="67" t="str">
        <f t="shared" si="1"/>
        <v/>
      </c>
      <c r="J14" s="67" t="str">
        <f t="shared" si="1"/>
        <v/>
      </c>
      <c r="K14" s="67" t="str">
        <f t="shared" si="1"/>
        <v/>
      </c>
      <c r="L14" s="67" t="str">
        <f t="shared" si="1"/>
        <v/>
      </c>
      <c r="M14" s="67" t="str">
        <f t="shared" si="1"/>
        <v/>
      </c>
      <c r="N14" s="67" t="str">
        <f t="shared" si="1"/>
        <v/>
      </c>
      <c r="O14" s="67" t="str">
        <f t="shared" si="1"/>
        <v/>
      </c>
      <c r="P14" s="67" t="str">
        <f t="shared" si="1"/>
        <v/>
      </c>
      <c r="Q14" s="67" t="str">
        <f t="shared" si="1"/>
        <v>Multi-tech</v>
      </c>
      <c r="R14" s="67" t="str">
        <f t="shared" si="1"/>
        <v>Multi-tech</v>
      </c>
      <c r="S14" s="67" t="str">
        <f t="shared" si="1"/>
        <v>Multi-tech</v>
      </c>
      <c r="T14" s="67" t="str">
        <f t="shared" si="1"/>
        <v/>
      </c>
      <c r="U14" s="67" t="str">
        <f t="shared" si="1"/>
        <v/>
      </c>
      <c r="V14" s="67" t="str">
        <f t="shared" si="1"/>
        <v/>
      </c>
      <c r="W14" s="67" t="str">
        <f t="shared" si="1"/>
        <v/>
      </c>
      <c r="X14" s="67" t="str">
        <f t="shared" si="1"/>
        <v/>
      </c>
      <c r="Y14" s="67" t="str">
        <f t="shared" si="1"/>
        <v/>
      </c>
      <c r="Z14" s="67" t="str">
        <f t="shared" si="1"/>
        <v/>
      </c>
      <c r="AA14" s="67" t="str">
        <f t="shared" si="1"/>
        <v/>
      </c>
      <c r="AB14" s="67" t="str">
        <f t="shared" si="1"/>
        <v/>
      </c>
      <c r="AC14" s="67" t="str">
        <f t="shared" ref="AC14:AR31" si="3">IF(AND($D14&lt;=EOMONTH(AC$8,0),$E14&gt;=AC$8),$B14,"")</f>
        <v/>
      </c>
      <c r="AD14" s="67" t="str">
        <f t="shared" si="3"/>
        <v/>
      </c>
      <c r="AE14" s="67" t="str">
        <f t="shared" si="3"/>
        <v/>
      </c>
      <c r="AF14" s="67" t="str">
        <f t="shared" si="3"/>
        <v/>
      </c>
      <c r="AG14" s="67" t="str">
        <f t="shared" si="3"/>
        <v/>
      </c>
      <c r="AH14" s="67" t="str">
        <f t="shared" si="3"/>
        <v/>
      </c>
      <c r="AI14" s="67" t="str">
        <f t="shared" si="3"/>
        <v/>
      </c>
      <c r="AJ14" s="67" t="str">
        <f t="shared" si="3"/>
        <v/>
      </c>
      <c r="AK14" s="67" t="str">
        <f t="shared" si="3"/>
        <v/>
      </c>
      <c r="AL14" s="67" t="str">
        <f t="shared" si="3"/>
        <v/>
      </c>
      <c r="AM14" s="67" t="str">
        <f t="shared" si="3"/>
        <v/>
      </c>
      <c r="AN14" s="67" t="str">
        <f t="shared" si="3"/>
        <v/>
      </c>
      <c r="AO14" s="67" t="str">
        <f t="shared" si="3"/>
        <v/>
      </c>
      <c r="AP14" s="67" t="str">
        <f t="shared" si="3"/>
        <v/>
      </c>
      <c r="AQ14" s="67" t="str">
        <f t="shared" si="3"/>
        <v/>
      </c>
      <c r="AR14" s="67" t="str">
        <f t="shared" si="3"/>
        <v/>
      </c>
      <c r="AS14" s="67" t="str">
        <f t="shared" ref="AS14:BC44" si="4">IF(AND($D14&lt;=EOMONTH(AS$8,0),$E14&gt;=AS$8),$B14,"")</f>
        <v/>
      </c>
      <c r="AT14" s="67" t="str">
        <f t="shared" si="4"/>
        <v/>
      </c>
      <c r="AU14" s="68" t="str">
        <f t="shared" si="4"/>
        <v/>
      </c>
      <c r="AV14" s="69" t="str">
        <f t="shared" si="4"/>
        <v/>
      </c>
      <c r="AW14" s="67" t="str">
        <f t="shared" si="4"/>
        <v/>
      </c>
      <c r="AX14" s="67" t="str">
        <f t="shared" si="4"/>
        <v/>
      </c>
      <c r="AY14" s="67" t="str">
        <f t="shared" si="4"/>
        <v/>
      </c>
      <c r="AZ14" s="67" t="str">
        <f t="shared" si="4"/>
        <v/>
      </c>
      <c r="BA14" s="67" t="str">
        <f t="shared" si="4"/>
        <v/>
      </c>
      <c r="BB14" s="67" t="str">
        <f t="shared" si="4"/>
        <v/>
      </c>
      <c r="BC14" s="67" t="str">
        <f t="shared" si="4"/>
        <v/>
      </c>
    </row>
    <row r="15" spans="1:55" ht="19.95" customHeight="1" x14ac:dyDescent="0.3">
      <c r="A15" s="62" cm="1">
        <f t="array" ref="A15">IFERROR(INDEX(_xlfn._xlws.FILTER(tbl_tasks[Final_Priority],(tbl_tasks[Project_ID]=$A$4)*IF($B$6="All",TRUE,tbl_tasks[Technology]=$B$6)),7),"")</f>
        <v>7</v>
      </c>
      <c r="B15" s="63" t="str" cm="1">
        <f t="array" ref="B15">IFERROR(INDEX(_xlfn._xlws.FILTER(tbl_tasks[Technology],(tbl_tasks[Project_ID]=$A$4)*IF($B$6="All",TRUE,tbl_tasks[Technology]=$B$6)),7),"")</f>
        <v>Multi-tech</v>
      </c>
      <c r="C15" s="63" t="str" cm="1">
        <f t="array" ref="C15">IFERROR(INDEX(_xlfn._xlws.FILTER(tbl_tasks[Task_Name],(tbl_tasks[Project_ID]=$A$4)*IF($B$6="All",TRUE,tbl_tasks[Technology]=$B$6)),7),"")</f>
        <v>Logistics</v>
      </c>
      <c r="D15" s="64" cm="1">
        <f t="array" ref="D15">IFERROR(INDEX(_xlfn._xlws.FILTER(tbl_tasks[Start_Date],(tbl_tasks[Project_ID]=$A$4)*IF($B$6="All",TRUE,tbl_tasks[Technology]=$B$6)),7),"")</f>
        <v>45276</v>
      </c>
      <c r="E15" s="64" cm="1">
        <f t="array" ref="E15">IFERROR(INDEX(_xlfn._xlws.FILTER(tbl_tasks[End_Date],(tbl_tasks[Project_ID]=$A$4)*IF($B$6="All",TRUE,tbl_tasks[Technology]=$B$6)),7),"")</f>
        <v>45331</v>
      </c>
      <c r="F15" s="65" cm="1">
        <f t="array" ref="F15">IFERROR(INDEX(_xlfn._xlws.FILTER(tbl_tasks[Duration],(tbl_tasks[Project_ID]=$A$4)*IF($B$6="All",TRUE,tbl_tasks[Technology]=$B$6)),7),"")</f>
        <v>55</v>
      </c>
      <c r="G15" s="66" t="str" cm="1">
        <f t="array" ref="G15">IFERROR(INDEX(_xlfn._xlws.FILTER(tbl_tasks[Status],(tbl_tasks[Project_ID]=$A$4)*IF($B$6="All",TRUE,tbl_tasks[Technology]=$B$6)),7),"")</f>
        <v>Planned</v>
      </c>
      <c r="H15" s="67" t="str">
        <f t="shared" si="2"/>
        <v/>
      </c>
      <c r="I15" s="67" t="str">
        <f t="shared" si="2"/>
        <v/>
      </c>
      <c r="J15" s="67" t="str">
        <f t="shared" si="2"/>
        <v/>
      </c>
      <c r="K15" s="67" t="str">
        <f t="shared" si="2"/>
        <v/>
      </c>
      <c r="L15" s="67" t="str">
        <f t="shared" si="2"/>
        <v/>
      </c>
      <c r="M15" s="67" t="str">
        <f t="shared" si="2"/>
        <v/>
      </c>
      <c r="N15" s="67" t="str">
        <f t="shared" si="2"/>
        <v/>
      </c>
      <c r="O15" s="67" t="str">
        <f t="shared" si="2"/>
        <v/>
      </c>
      <c r="P15" s="67" t="str">
        <f t="shared" si="2"/>
        <v/>
      </c>
      <c r="Q15" s="67" t="str">
        <f t="shared" si="2"/>
        <v/>
      </c>
      <c r="R15" s="67" t="str">
        <f t="shared" si="2"/>
        <v/>
      </c>
      <c r="S15" s="67" t="str">
        <f t="shared" si="2"/>
        <v>Multi-tech</v>
      </c>
      <c r="T15" s="67" t="str">
        <f t="shared" si="2"/>
        <v>Multi-tech</v>
      </c>
      <c r="U15" s="67" t="str">
        <f t="shared" si="2"/>
        <v>Multi-tech</v>
      </c>
      <c r="V15" s="67" t="str">
        <f t="shared" si="2"/>
        <v/>
      </c>
      <c r="W15" s="67" t="str">
        <f t="shared" si="2"/>
        <v/>
      </c>
      <c r="X15" s="67" t="str">
        <f t="shared" ref="X15:AM32" si="5">IF(AND($D15&lt;=EOMONTH(X$8,0),$E15&gt;=X$8),$B15,"")</f>
        <v/>
      </c>
      <c r="Y15" s="67" t="str">
        <f t="shared" si="5"/>
        <v/>
      </c>
      <c r="Z15" s="67" t="str">
        <f t="shared" si="5"/>
        <v/>
      </c>
      <c r="AA15" s="67" t="str">
        <f t="shared" si="5"/>
        <v/>
      </c>
      <c r="AB15" s="67" t="str">
        <f t="shared" si="5"/>
        <v/>
      </c>
      <c r="AC15" s="67" t="str">
        <f t="shared" si="5"/>
        <v/>
      </c>
      <c r="AD15" s="67" t="str">
        <f t="shared" si="5"/>
        <v/>
      </c>
      <c r="AE15" s="67" t="str">
        <f t="shared" si="5"/>
        <v/>
      </c>
      <c r="AF15" s="67" t="str">
        <f t="shared" si="5"/>
        <v/>
      </c>
      <c r="AG15" s="67" t="str">
        <f t="shared" si="5"/>
        <v/>
      </c>
      <c r="AH15" s="67" t="str">
        <f t="shared" si="5"/>
        <v/>
      </c>
      <c r="AI15" s="67" t="str">
        <f t="shared" si="5"/>
        <v/>
      </c>
      <c r="AJ15" s="67" t="str">
        <f t="shared" si="5"/>
        <v/>
      </c>
      <c r="AK15" s="67" t="str">
        <f t="shared" si="5"/>
        <v/>
      </c>
      <c r="AL15" s="67" t="str">
        <f t="shared" si="5"/>
        <v/>
      </c>
      <c r="AM15" s="67" t="str">
        <f t="shared" si="5"/>
        <v/>
      </c>
      <c r="AN15" s="67" t="str">
        <f t="shared" si="3"/>
        <v/>
      </c>
      <c r="AO15" s="67" t="str">
        <f t="shared" si="3"/>
        <v/>
      </c>
      <c r="AP15" s="67" t="str">
        <f t="shared" si="3"/>
        <v/>
      </c>
      <c r="AQ15" s="67" t="str">
        <f t="shared" si="3"/>
        <v/>
      </c>
      <c r="AR15" s="67" t="str">
        <f t="shared" si="3"/>
        <v/>
      </c>
      <c r="AS15" s="67" t="str">
        <f t="shared" si="4"/>
        <v/>
      </c>
      <c r="AT15" s="67" t="str">
        <f t="shared" si="4"/>
        <v/>
      </c>
      <c r="AU15" s="68" t="str">
        <f t="shared" si="4"/>
        <v/>
      </c>
      <c r="AV15" s="69" t="str">
        <f t="shared" si="4"/>
        <v/>
      </c>
      <c r="AW15" s="67" t="str">
        <f t="shared" si="4"/>
        <v/>
      </c>
      <c r="AX15" s="67" t="str">
        <f t="shared" si="4"/>
        <v/>
      </c>
      <c r="AY15" s="67" t="str">
        <f t="shared" si="4"/>
        <v/>
      </c>
      <c r="AZ15" s="67" t="str">
        <f t="shared" si="4"/>
        <v/>
      </c>
      <c r="BA15" s="67" t="str">
        <f t="shared" si="4"/>
        <v/>
      </c>
      <c r="BB15" s="67" t="str">
        <f t="shared" si="4"/>
        <v/>
      </c>
      <c r="BC15" s="67" t="str">
        <f t="shared" si="4"/>
        <v/>
      </c>
    </row>
    <row r="16" spans="1:55" ht="19.95" customHeight="1" x14ac:dyDescent="0.3">
      <c r="A16" s="62" cm="1">
        <f t="array" ref="A16">IFERROR(INDEX(_xlfn._xlws.FILTER(tbl_tasks[Final_Priority],(tbl_tasks[Project_ID]=$A$4)*IF($B$6="All",TRUE,tbl_tasks[Technology]=$B$6)),8),"")</f>
        <v>8</v>
      </c>
      <c r="B16" s="63" t="str" cm="1">
        <f t="array" ref="B16">IFERROR(INDEX(_xlfn._xlws.FILTER(tbl_tasks[Technology],(tbl_tasks[Project_ID]=$A$4)*IF($B$6="All",TRUE,tbl_tasks[Technology]=$B$6)),8),"")</f>
        <v>Multi-tech</v>
      </c>
      <c r="C16" s="63" t="str" cm="1">
        <f t="array" ref="C16">IFERROR(INDEX(_xlfn._xlws.FILTER(tbl_tasks[Task_Name],(tbl_tasks[Project_ID]=$A$4)*IF($B$6="All",TRUE,tbl_tasks[Technology]=$B$6)),8),"")</f>
        <v>Maritime Transport</v>
      </c>
      <c r="D16" s="64" cm="1">
        <f t="array" ref="D16">IFERROR(INDEX(_xlfn._xlws.FILTER(tbl_tasks[Start_Date],(tbl_tasks[Project_ID]=$A$4)*IF($B$6="All",TRUE,tbl_tasks[Technology]=$B$6)),8),"")</f>
        <v>45331</v>
      </c>
      <c r="E16" s="64" cm="1">
        <f t="array" ref="E16">IFERROR(INDEX(_xlfn._xlws.FILTER(tbl_tasks[End_Date],(tbl_tasks[Project_ID]=$A$4)*IF($B$6="All",TRUE,tbl_tasks[Technology]=$B$6)),8),"")</f>
        <v>45386</v>
      </c>
      <c r="F16" s="65" cm="1">
        <f t="array" ref="F16">IFERROR(INDEX(_xlfn._xlws.FILTER(tbl_tasks[Duration],(tbl_tasks[Project_ID]=$A$4)*IF($B$6="All",TRUE,tbl_tasks[Technology]=$B$6)),8),"")</f>
        <v>55</v>
      </c>
      <c r="G16" s="66" t="str" cm="1">
        <f t="array" ref="G16">IFERROR(INDEX(_xlfn._xlws.FILTER(tbl_tasks[Status],(tbl_tasks[Project_ID]=$A$4)*IF($B$6="All",TRUE,tbl_tasks[Technology]=$B$6)),8),"")</f>
        <v>Planned</v>
      </c>
      <c r="H16" s="67" t="str">
        <f t="shared" si="2"/>
        <v/>
      </c>
      <c r="I16" s="67" t="str">
        <f t="shared" si="2"/>
        <v/>
      </c>
      <c r="J16" s="67" t="str">
        <f t="shared" si="2"/>
        <v/>
      </c>
      <c r="K16" s="67" t="str">
        <f t="shared" si="2"/>
        <v/>
      </c>
      <c r="L16" s="67" t="str">
        <f t="shared" si="2"/>
        <v/>
      </c>
      <c r="M16" s="67" t="str">
        <f t="shared" si="2"/>
        <v/>
      </c>
      <c r="N16" s="67" t="str">
        <f t="shared" si="2"/>
        <v/>
      </c>
      <c r="O16" s="67" t="str">
        <f t="shared" si="2"/>
        <v/>
      </c>
      <c r="P16" s="67" t="str">
        <f t="shared" si="2"/>
        <v/>
      </c>
      <c r="Q16" s="67" t="str">
        <f t="shared" si="2"/>
        <v/>
      </c>
      <c r="R16" s="67" t="str">
        <f t="shared" si="2"/>
        <v/>
      </c>
      <c r="S16" s="67" t="str">
        <f t="shared" si="2"/>
        <v/>
      </c>
      <c r="T16" s="67" t="str">
        <f t="shared" si="2"/>
        <v/>
      </c>
      <c r="U16" s="67" t="str">
        <f t="shared" si="2"/>
        <v>Multi-tech</v>
      </c>
      <c r="V16" s="67" t="str">
        <f t="shared" si="2"/>
        <v>Multi-tech</v>
      </c>
      <c r="W16" s="67" t="str">
        <f t="shared" si="2"/>
        <v>Multi-tech</v>
      </c>
      <c r="X16" s="67" t="str">
        <f t="shared" si="5"/>
        <v/>
      </c>
      <c r="Y16" s="67" t="str">
        <f t="shared" si="5"/>
        <v/>
      </c>
      <c r="Z16" s="67" t="str">
        <f t="shared" si="5"/>
        <v/>
      </c>
      <c r="AA16" s="67" t="str">
        <f t="shared" si="5"/>
        <v/>
      </c>
      <c r="AB16" s="67" t="str">
        <f t="shared" si="5"/>
        <v/>
      </c>
      <c r="AC16" s="67" t="str">
        <f t="shared" si="5"/>
        <v/>
      </c>
      <c r="AD16" s="67" t="str">
        <f t="shared" si="5"/>
        <v/>
      </c>
      <c r="AE16" s="67" t="str">
        <f t="shared" si="5"/>
        <v/>
      </c>
      <c r="AF16" s="67" t="str">
        <f t="shared" si="5"/>
        <v/>
      </c>
      <c r="AG16" s="67" t="str">
        <f t="shared" si="5"/>
        <v/>
      </c>
      <c r="AH16" s="67" t="str">
        <f t="shared" si="5"/>
        <v/>
      </c>
      <c r="AI16" s="67" t="str">
        <f t="shared" si="5"/>
        <v/>
      </c>
      <c r="AJ16" s="67" t="str">
        <f t="shared" si="5"/>
        <v/>
      </c>
      <c r="AK16" s="67" t="str">
        <f t="shared" si="5"/>
        <v/>
      </c>
      <c r="AL16" s="67" t="str">
        <f t="shared" si="5"/>
        <v/>
      </c>
      <c r="AM16" s="67" t="str">
        <f t="shared" si="5"/>
        <v/>
      </c>
      <c r="AN16" s="67" t="str">
        <f t="shared" si="3"/>
        <v/>
      </c>
      <c r="AO16" s="67" t="str">
        <f t="shared" si="3"/>
        <v/>
      </c>
      <c r="AP16" s="67" t="str">
        <f t="shared" si="3"/>
        <v/>
      </c>
      <c r="AQ16" s="67" t="str">
        <f t="shared" si="3"/>
        <v/>
      </c>
      <c r="AR16" s="67" t="str">
        <f t="shared" si="3"/>
        <v/>
      </c>
      <c r="AS16" s="67" t="str">
        <f t="shared" si="4"/>
        <v/>
      </c>
      <c r="AT16" s="67" t="str">
        <f t="shared" si="4"/>
        <v/>
      </c>
      <c r="AU16" s="68" t="str">
        <f t="shared" si="4"/>
        <v/>
      </c>
      <c r="AV16" s="69" t="str">
        <f t="shared" si="4"/>
        <v/>
      </c>
      <c r="AW16" s="67" t="str">
        <f t="shared" si="4"/>
        <v/>
      </c>
      <c r="AX16" s="67" t="str">
        <f t="shared" si="4"/>
        <v/>
      </c>
      <c r="AY16" s="67" t="str">
        <f t="shared" si="4"/>
        <v/>
      </c>
      <c r="AZ16" s="67" t="str">
        <f t="shared" si="4"/>
        <v/>
      </c>
      <c r="BA16" s="67" t="str">
        <f t="shared" si="4"/>
        <v/>
      </c>
      <c r="BB16" s="67" t="str">
        <f t="shared" si="4"/>
        <v/>
      </c>
      <c r="BC16" s="67" t="str">
        <f t="shared" si="4"/>
        <v/>
      </c>
    </row>
    <row r="17" spans="1:55" ht="19.95" customHeight="1" x14ac:dyDescent="0.3">
      <c r="A17" s="62" cm="1">
        <f t="array" ref="A17">IFERROR(INDEX(_xlfn._xlws.FILTER(tbl_tasks[Final_Priority],(tbl_tasks[Project_ID]=$A$4)*IF($B$6="All",TRUE,tbl_tasks[Technology]=$B$6)),9),"")</f>
        <v>9</v>
      </c>
      <c r="B17" s="63" t="str" cm="1">
        <f t="array" ref="B17">IFERROR(INDEX(_xlfn._xlws.FILTER(tbl_tasks[Technology],(tbl_tasks[Project_ID]=$A$4)*IF($B$6="All",TRUE,tbl_tasks[Technology]=$B$6)),9),"")</f>
        <v>Multi-tech</v>
      </c>
      <c r="C17" s="63" t="str" cm="1">
        <f t="array" ref="C17">IFERROR(INDEX(_xlfn._xlws.FILTER(tbl_tasks[Task_Name],(tbl_tasks[Project_ID]=$A$4)*IF($B$6="All",TRUE,tbl_tasks[Technology]=$B$6)),9),"")</f>
        <v>Overland Transport</v>
      </c>
      <c r="D17" s="64" cm="1">
        <f t="array" ref="D17">IFERROR(INDEX(_xlfn._xlws.FILTER(tbl_tasks[Start_Date],(tbl_tasks[Project_ID]=$A$4)*IF($B$6="All",TRUE,tbl_tasks[Technology]=$B$6)),9),"")</f>
        <v>45386</v>
      </c>
      <c r="E17" s="64" cm="1">
        <f t="array" ref="E17">IFERROR(INDEX(_xlfn._xlws.FILTER(tbl_tasks[End_Date],(tbl_tasks[Project_ID]=$A$4)*IF($B$6="All",TRUE,tbl_tasks[Technology]=$B$6)),9),"")</f>
        <v>45441</v>
      </c>
      <c r="F17" s="65" cm="1">
        <f t="array" ref="F17">IFERROR(INDEX(_xlfn._xlws.FILTER(tbl_tasks[Duration],(tbl_tasks[Project_ID]=$A$4)*IF($B$6="All",TRUE,tbl_tasks[Technology]=$B$6)),9),"")</f>
        <v>55</v>
      </c>
      <c r="G17" s="66" t="str" cm="1">
        <f t="array" ref="G17">IFERROR(INDEX(_xlfn._xlws.FILTER(tbl_tasks[Status],(tbl_tasks[Project_ID]=$A$4)*IF($B$6="All",TRUE,tbl_tasks[Technology]=$B$6)),9),"")</f>
        <v>Planned</v>
      </c>
      <c r="H17" s="67" t="str">
        <f t="shared" si="2"/>
        <v/>
      </c>
      <c r="I17" s="67" t="str">
        <f t="shared" si="2"/>
        <v/>
      </c>
      <c r="J17" s="67" t="str">
        <f t="shared" si="2"/>
        <v/>
      </c>
      <c r="K17" s="67" t="str">
        <f t="shared" si="2"/>
        <v/>
      </c>
      <c r="L17" s="67" t="str">
        <f t="shared" si="2"/>
        <v/>
      </c>
      <c r="M17" s="67" t="str">
        <f t="shared" si="2"/>
        <v/>
      </c>
      <c r="N17" s="67" t="str">
        <f t="shared" si="2"/>
        <v/>
      </c>
      <c r="O17" s="67" t="str">
        <f t="shared" si="2"/>
        <v/>
      </c>
      <c r="P17" s="67" t="str">
        <f t="shared" si="2"/>
        <v/>
      </c>
      <c r="Q17" s="67" t="str">
        <f t="shared" si="2"/>
        <v/>
      </c>
      <c r="R17" s="67" t="str">
        <f t="shared" si="2"/>
        <v/>
      </c>
      <c r="S17" s="67" t="str">
        <f t="shared" si="2"/>
        <v/>
      </c>
      <c r="T17" s="67" t="str">
        <f t="shared" si="2"/>
        <v/>
      </c>
      <c r="U17" s="67" t="str">
        <f t="shared" si="2"/>
        <v/>
      </c>
      <c r="V17" s="67" t="str">
        <f t="shared" si="2"/>
        <v/>
      </c>
      <c r="W17" s="67" t="str">
        <f t="shared" si="2"/>
        <v>Multi-tech</v>
      </c>
      <c r="X17" s="67" t="str">
        <f t="shared" si="5"/>
        <v>Multi-tech</v>
      </c>
      <c r="Y17" s="67" t="str">
        <f t="shared" si="5"/>
        <v/>
      </c>
      <c r="Z17" s="67" t="str">
        <f t="shared" si="5"/>
        <v/>
      </c>
      <c r="AA17" s="67" t="str">
        <f t="shared" si="5"/>
        <v/>
      </c>
      <c r="AB17" s="67" t="str">
        <f t="shared" si="5"/>
        <v/>
      </c>
      <c r="AC17" s="67" t="str">
        <f t="shared" si="5"/>
        <v/>
      </c>
      <c r="AD17" s="67" t="str">
        <f t="shared" si="5"/>
        <v/>
      </c>
      <c r="AE17" s="67" t="str">
        <f t="shared" si="5"/>
        <v/>
      </c>
      <c r="AF17" s="67" t="str">
        <f t="shared" si="5"/>
        <v/>
      </c>
      <c r="AG17" s="67" t="str">
        <f t="shared" si="5"/>
        <v/>
      </c>
      <c r="AH17" s="67" t="str">
        <f t="shared" si="5"/>
        <v/>
      </c>
      <c r="AI17" s="67" t="str">
        <f t="shared" si="5"/>
        <v/>
      </c>
      <c r="AJ17" s="67" t="str">
        <f t="shared" si="5"/>
        <v/>
      </c>
      <c r="AK17" s="67" t="str">
        <f t="shared" si="5"/>
        <v/>
      </c>
      <c r="AL17" s="67" t="str">
        <f t="shared" si="5"/>
        <v/>
      </c>
      <c r="AM17" s="67" t="str">
        <f t="shared" si="5"/>
        <v/>
      </c>
      <c r="AN17" s="67" t="str">
        <f t="shared" si="3"/>
        <v/>
      </c>
      <c r="AO17" s="67" t="str">
        <f t="shared" si="3"/>
        <v/>
      </c>
      <c r="AP17" s="67" t="str">
        <f t="shared" si="3"/>
        <v/>
      </c>
      <c r="AQ17" s="67" t="str">
        <f t="shared" si="3"/>
        <v/>
      </c>
      <c r="AR17" s="67" t="str">
        <f t="shared" si="3"/>
        <v/>
      </c>
      <c r="AS17" s="67" t="str">
        <f t="shared" si="4"/>
        <v/>
      </c>
      <c r="AT17" s="67" t="str">
        <f t="shared" si="4"/>
        <v/>
      </c>
      <c r="AU17" s="68" t="str">
        <f t="shared" si="4"/>
        <v/>
      </c>
      <c r="AV17" s="69" t="str">
        <f t="shared" si="4"/>
        <v/>
      </c>
      <c r="AW17" s="67" t="str">
        <f t="shared" si="4"/>
        <v/>
      </c>
      <c r="AX17" s="67" t="str">
        <f t="shared" si="4"/>
        <v/>
      </c>
      <c r="AY17" s="67" t="str">
        <f t="shared" si="4"/>
        <v/>
      </c>
      <c r="AZ17" s="67" t="str">
        <f t="shared" si="4"/>
        <v/>
      </c>
      <c r="BA17" s="67" t="str">
        <f t="shared" si="4"/>
        <v/>
      </c>
      <c r="BB17" s="67" t="str">
        <f t="shared" si="4"/>
        <v/>
      </c>
      <c r="BC17" s="67" t="str">
        <f t="shared" si="4"/>
        <v/>
      </c>
    </row>
    <row r="18" spans="1:55" ht="19.95" customHeight="1" x14ac:dyDescent="0.3">
      <c r="A18" s="62" cm="1">
        <f t="array" ref="A18">IFERROR(INDEX(_xlfn._xlws.FILTER(tbl_tasks[Final_Priority],(tbl_tasks[Project_ID]=$A$4)*IF($B$6="All",TRUE,tbl_tasks[Technology]=$B$6)),10),"")</f>
        <v>10</v>
      </c>
      <c r="B18" s="63" t="str" cm="1">
        <f t="array" ref="B18">IFERROR(INDEX(_xlfn._xlws.FILTER(tbl_tasks[Technology],(tbl_tasks[Project_ID]=$A$4)*IF($B$6="All",TRUE,tbl_tasks[Technology]=$B$6)),10),"")</f>
        <v>Multi-tech</v>
      </c>
      <c r="C18" s="63" t="str" cm="1">
        <f t="array" ref="C18">IFERROR(INDEX(_xlfn._xlws.FILTER(tbl_tasks[Task_Name],(tbl_tasks[Project_ID]=$A$4)*IF($B$6="All",TRUE,tbl_tasks[Technology]=$B$6)),10),"")</f>
        <v>Construction</v>
      </c>
      <c r="D18" s="64" cm="1">
        <f t="array" ref="D18">IFERROR(INDEX(_xlfn._xlws.FILTER(tbl_tasks[Start_Date],(tbl_tasks[Project_ID]=$A$4)*IF($B$6="All",TRUE,tbl_tasks[Technology]=$B$6)),10),"")</f>
        <v>45441</v>
      </c>
      <c r="E18" s="64" cm="1">
        <f t="array" ref="E18">IFERROR(INDEX(_xlfn._xlws.FILTER(tbl_tasks[End_Date],(tbl_tasks[Project_ID]=$A$4)*IF($B$6="All",TRUE,tbl_tasks[Technology]=$B$6)),10),"")</f>
        <v>45499</v>
      </c>
      <c r="F18" s="65" cm="1">
        <f t="array" ref="F18">IFERROR(INDEX(_xlfn._xlws.FILTER(tbl_tasks[Duration],(tbl_tasks[Project_ID]=$A$4)*IF($B$6="All",TRUE,tbl_tasks[Technology]=$B$6)),10),"")</f>
        <v>58</v>
      </c>
      <c r="G18" s="66" t="str" cm="1">
        <f t="array" ref="G18">IFERROR(INDEX(_xlfn._xlws.FILTER(tbl_tasks[Status],(tbl_tasks[Project_ID]=$A$4)*IF($B$6="All",TRUE,tbl_tasks[Technology]=$B$6)),10),"")</f>
        <v>Planned</v>
      </c>
      <c r="H18" s="67" t="str">
        <f t="shared" si="2"/>
        <v/>
      </c>
      <c r="I18" s="67" t="str">
        <f t="shared" si="2"/>
        <v/>
      </c>
      <c r="J18" s="67" t="str">
        <f t="shared" si="2"/>
        <v/>
      </c>
      <c r="K18" s="67" t="str">
        <f t="shared" si="2"/>
        <v/>
      </c>
      <c r="L18" s="67" t="str">
        <f t="shared" si="2"/>
        <v/>
      </c>
      <c r="M18" s="67" t="str">
        <f t="shared" si="2"/>
        <v/>
      </c>
      <c r="N18" s="67" t="str">
        <f t="shared" si="2"/>
        <v/>
      </c>
      <c r="O18" s="67" t="str">
        <f t="shared" si="2"/>
        <v/>
      </c>
      <c r="P18" s="67" t="str">
        <f t="shared" si="2"/>
        <v/>
      </c>
      <c r="Q18" s="67" t="str">
        <f t="shared" si="2"/>
        <v/>
      </c>
      <c r="R18" s="67" t="str">
        <f t="shared" si="2"/>
        <v/>
      </c>
      <c r="S18" s="67" t="str">
        <f t="shared" si="2"/>
        <v/>
      </c>
      <c r="T18" s="67" t="str">
        <f t="shared" si="2"/>
        <v/>
      </c>
      <c r="U18" s="67" t="str">
        <f t="shared" si="2"/>
        <v/>
      </c>
      <c r="V18" s="67" t="str">
        <f t="shared" si="2"/>
        <v/>
      </c>
      <c r="W18" s="67" t="str">
        <f t="shared" si="2"/>
        <v/>
      </c>
      <c r="X18" s="67" t="str">
        <f t="shared" si="5"/>
        <v>Multi-tech</v>
      </c>
      <c r="Y18" s="67" t="str">
        <f t="shared" si="5"/>
        <v>Multi-tech</v>
      </c>
      <c r="Z18" s="67" t="str">
        <f t="shared" si="5"/>
        <v>Multi-tech</v>
      </c>
      <c r="AA18" s="67" t="str">
        <f t="shared" si="5"/>
        <v/>
      </c>
      <c r="AB18" s="67" t="str">
        <f t="shared" si="5"/>
        <v/>
      </c>
      <c r="AC18" s="67" t="str">
        <f t="shared" si="5"/>
        <v/>
      </c>
      <c r="AD18" s="67" t="str">
        <f t="shared" si="5"/>
        <v/>
      </c>
      <c r="AE18" s="67" t="str">
        <f t="shared" si="5"/>
        <v/>
      </c>
      <c r="AF18" s="67" t="str">
        <f t="shared" si="5"/>
        <v/>
      </c>
      <c r="AG18" s="67" t="str">
        <f t="shared" si="5"/>
        <v/>
      </c>
      <c r="AH18" s="67" t="str">
        <f t="shared" si="5"/>
        <v/>
      </c>
      <c r="AI18" s="67" t="str">
        <f t="shared" si="5"/>
        <v/>
      </c>
      <c r="AJ18" s="67" t="str">
        <f t="shared" si="5"/>
        <v/>
      </c>
      <c r="AK18" s="67" t="str">
        <f t="shared" si="5"/>
        <v/>
      </c>
      <c r="AL18" s="67" t="str">
        <f t="shared" si="5"/>
        <v/>
      </c>
      <c r="AM18" s="67" t="str">
        <f t="shared" si="5"/>
        <v/>
      </c>
      <c r="AN18" s="67" t="str">
        <f t="shared" si="3"/>
        <v/>
      </c>
      <c r="AO18" s="67" t="str">
        <f t="shared" si="3"/>
        <v/>
      </c>
      <c r="AP18" s="67" t="str">
        <f t="shared" si="3"/>
        <v/>
      </c>
      <c r="AQ18" s="67" t="str">
        <f t="shared" si="3"/>
        <v/>
      </c>
      <c r="AR18" s="67" t="str">
        <f t="shared" si="3"/>
        <v/>
      </c>
      <c r="AS18" s="67" t="str">
        <f t="shared" si="4"/>
        <v/>
      </c>
      <c r="AT18" s="67" t="str">
        <f t="shared" si="4"/>
        <v/>
      </c>
      <c r="AU18" s="68" t="str">
        <f t="shared" si="4"/>
        <v/>
      </c>
      <c r="AV18" s="69" t="str">
        <f t="shared" si="4"/>
        <v/>
      </c>
      <c r="AW18" s="67" t="str">
        <f t="shared" si="4"/>
        <v/>
      </c>
      <c r="AX18" s="67" t="str">
        <f t="shared" si="4"/>
        <v/>
      </c>
      <c r="AY18" s="67" t="str">
        <f t="shared" si="4"/>
        <v/>
      </c>
      <c r="AZ18" s="67" t="str">
        <f t="shared" si="4"/>
        <v/>
      </c>
      <c r="BA18" s="67" t="str">
        <f t="shared" si="4"/>
        <v/>
      </c>
      <c r="BB18" s="67" t="str">
        <f t="shared" si="4"/>
        <v/>
      </c>
      <c r="BC18" s="67" t="str">
        <f t="shared" si="4"/>
        <v/>
      </c>
    </row>
    <row r="19" spans="1:55" ht="19.95" customHeight="1" x14ac:dyDescent="0.3">
      <c r="A19" s="62" cm="1">
        <f t="array" ref="A19">IFERROR(INDEX(_xlfn._xlws.FILTER(tbl_tasks[Final_Priority],(tbl_tasks[Project_ID]=$A$4)*IF($B$6="All",TRUE,tbl_tasks[Technology]=$B$6)),11),"")</f>
        <v>11</v>
      </c>
      <c r="B19" s="63" t="str" cm="1">
        <f t="array" ref="B19">IFERROR(INDEX(_xlfn._xlws.FILTER(tbl_tasks[Technology],(tbl_tasks[Project_ID]=$A$4)*IF($B$6="All",TRUE,tbl_tasks[Technology]=$B$6)),11),"")</f>
        <v>Solar</v>
      </c>
      <c r="C19" s="63" t="str" cm="1">
        <f t="array" ref="C19">IFERROR(INDEX(_xlfn._xlws.FILTER(tbl_tasks[Task_Name],(tbl_tasks[Project_ID]=$A$4)*IF($B$6="All",TRUE,tbl_tasks[Technology]=$B$6)),11),"")</f>
        <v>Site preparation</v>
      </c>
      <c r="D19" s="64" cm="1">
        <f t="array" ref="D19">IFERROR(INDEX(_xlfn._xlws.FILTER(tbl_tasks[Start_Date],(tbl_tasks[Project_ID]=$A$4)*IF($B$6="All",TRUE,tbl_tasks[Technology]=$B$6)),11),"")</f>
        <v>45499</v>
      </c>
      <c r="E19" s="64" cm="1">
        <f t="array" ref="E19">IFERROR(INDEX(_xlfn._xlws.FILTER(tbl_tasks[End_Date],(tbl_tasks[Project_ID]=$A$4)*IF($B$6="All",TRUE,tbl_tasks[Technology]=$B$6)),11),"")</f>
        <v>45549</v>
      </c>
      <c r="F19" s="65" cm="1">
        <f t="array" ref="F19">IFERROR(INDEX(_xlfn._xlws.FILTER(tbl_tasks[Duration],(tbl_tasks[Project_ID]=$A$4)*IF($B$6="All",TRUE,tbl_tasks[Technology]=$B$6)),11),"")</f>
        <v>50</v>
      </c>
      <c r="G19" s="66" t="str" cm="1">
        <f t="array" ref="G19">IFERROR(INDEX(_xlfn._xlws.FILTER(tbl_tasks[Status],(tbl_tasks[Project_ID]=$A$4)*IF($B$6="All",TRUE,tbl_tasks[Technology]=$B$6)),11),"")</f>
        <v>Planned</v>
      </c>
      <c r="H19" s="67" t="str">
        <f t="shared" si="2"/>
        <v/>
      </c>
      <c r="I19" s="67" t="str">
        <f t="shared" si="2"/>
        <v/>
      </c>
      <c r="J19" s="67" t="str">
        <f t="shared" si="2"/>
        <v/>
      </c>
      <c r="K19" s="67" t="str">
        <f t="shared" si="2"/>
        <v/>
      </c>
      <c r="L19" s="67" t="str">
        <f t="shared" si="2"/>
        <v/>
      </c>
      <c r="M19" s="67" t="str">
        <f t="shared" si="2"/>
        <v/>
      </c>
      <c r="N19" s="67" t="str">
        <f t="shared" si="2"/>
        <v/>
      </c>
      <c r="O19" s="67" t="str">
        <f t="shared" si="2"/>
        <v/>
      </c>
      <c r="P19" s="67" t="str">
        <f t="shared" si="2"/>
        <v/>
      </c>
      <c r="Q19" s="67" t="str">
        <f t="shared" si="2"/>
        <v/>
      </c>
      <c r="R19" s="67" t="str">
        <f t="shared" si="2"/>
        <v/>
      </c>
      <c r="S19" s="67" t="str">
        <f t="shared" si="2"/>
        <v/>
      </c>
      <c r="T19" s="67" t="str">
        <f t="shared" si="2"/>
        <v/>
      </c>
      <c r="U19" s="67" t="str">
        <f t="shared" si="2"/>
        <v/>
      </c>
      <c r="V19" s="67" t="str">
        <f t="shared" si="2"/>
        <v/>
      </c>
      <c r="W19" s="67" t="str">
        <f t="shared" si="2"/>
        <v/>
      </c>
      <c r="X19" s="67" t="str">
        <f t="shared" si="5"/>
        <v/>
      </c>
      <c r="Y19" s="67" t="str">
        <f t="shared" si="5"/>
        <v/>
      </c>
      <c r="Z19" s="67" t="str">
        <f t="shared" si="5"/>
        <v>Solar</v>
      </c>
      <c r="AA19" s="67" t="str">
        <f t="shared" si="5"/>
        <v>Solar</v>
      </c>
      <c r="AB19" s="67" t="str">
        <f t="shared" si="5"/>
        <v>Solar</v>
      </c>
      <c r="AC19" s="67" t="str">
        <f t="shared" si="5"/>
        <v/>
      </c>
      <c r="AD19" s="67" t="str">
        <f t="shared" si="5"/>
        <v/>
      </c>
      <c r="AE19" s="67" t="str">
        <f t="shared" si="5"/>
        <v/>
      </c>
      <c r="AF19" s="67" t="str">
        <f t="shared" si="5"/>
        <v/>
      </c>
      <c r="AG19" s="67" t="str">
        <f t="shared" si="5"/>
        <v/>
      </c>
      <c r="AH19" s="67" t="str">
        <f t="shared" si="5"/>
        <v/>
      </c>
      <c r="AI19" s="67" t="str">
        <f t="shared" si="5"/>
        <v/>
      </c>
      <c r="AJ19" s="67" t="str">
        <f t="shared" si="5"/>
        <v/>
      </c>
      <c r="AK19" s="67" t="str">
        <f t="shared" si="5"/>
        <v/>
      </c>
      <c r="AL19" s="67" t="str">
        <f t="shared" si="5"/>
        <v/>
      </c>
      <c r="AM19" s="67" t="str">
        <f t="shared" si="5"/>
        <v/>
      </c>
      <c r="AN19" s="67" t="str">
        <f t="shared" si="3"/>
        <v/>
      </c>
      <c r="AO19" s="67" t="str">
        <f t="shared" si="3"/>
        <v/>
      </c>
      <c r="AP19" s="67" t="str">
        <f t="shared" si="3"/>
        <v/>
      </c>
      <c r="AQ19" s="67" t="str">
        <f t="shared" si="3"/>
        <v/>
      </c>
      <c r="AR19" s="67" t="str">
        <f t="shared" si="3"/>
        <v/>
      </c>
      <c r="AS19" s="67" t="str">
        <f t="shared" si="4"/>
        <v/>
      </c>
      <c r="AT19" s="67" t="str">
        <f t="shared" si="4"/>
        <v/>
      </c>
      <c r="AU19" s="68" t="str">
        <f t="shared" si="4"/>
        <v/>
      </c>
      <c r="AV19" s="69" t="str">
        <f t="shared" si="4"/>
        <v/>
      </c>
      <c r="AW19" s="67" t="str">
        <f t="shared" si="4"/>
        <v/>
      </c>
      <c r="AX19" s="67" t="str">
        <f t="shared" si="4"/>
        <v/>
      </c>
      <c r="AY19" s="67" t="str">
        <f t="shared" si="4"/>
        <v/>
      </c>
      <c r="AZ19" s="67" t="str">
        <f t="shared" si="4"/>
        <v/>
      </c>
      <c r="BA19" s="67" t="str">
        <f t="shared" si="4"/>
        <v/>
      </c>
      <c r="BB19" s="67" t="str">
        <f t="shared" si="4"/>
        <v/>
      </c>
      <c r="BC19" s="67" t="str">
        <f t="shared" si="4"/>
        <v/>
      </c>
    </row>
    <row r="20" spans="1:55" ht="19.95" customHeight="1" x14ac:dyDescent="0.3">
      <c r="A20" s="62" cm="1">
        <f t="array" ref="A20">IFERROR(INDEX(_xlfn._xlws.FILTER(tbl_tasks[Final_Priority],(tbl_tasks[Project_ID]=$A$4)*IF($B$6="All",TRUE,tbl_tasks[Technology]=$B$6)),12),"")</f>
        <v>12</v>
      </c>
      <c r="B20" s="63" t="str" cm="1">
        <f t="array" ref="B20">IFERROR(INDEX(_xlfn._xlws.FILTER(tbl_tasks[Technology],(tbl_tasks[Project_ID]=$A$4)*IF($B$6="All",TRUE,tbl_tasks[Technology]=$B$6)),12),"")</f>
        <v>Solar</v>
      </c>
      <c r="C20" s="63" t="str" cm="1">
        <f t="array" ref="C20">IFERROR(INDEX(_xlfn._xlws.FILTER(tbl_tasks[Task_Name],(tbl_tasks[Project_ID]=$A$4)*IF($B$6="All",TRUE,tbl_tasks[Technology]=$B$6)),12),"")</f>
        <v>Site grading</v>
      </c>
      <c r="D20" s="64" cm="1">
        <f t="array" ref="D20">IFERROR(INDEX(_xlfn._xlws.FILTER(tbl_tasks[Start_Date],(tbl_tasks[Project_ID]=$A$4)*IF($B$6="All",TRUE,tbl_tasks[Technology]=$B$6)),12),"")</f>
        <v>45549</v>
      </c>
      <c r="E20" s="64" cm="1">
        <f t="array" ref="E20">IFERROR(INDEX(_xlfn._xlws.FILTER(tbl_tasks[End_Date],(tbl_tasks[Project_ID]=$A$4)*IF($B$6="All",TRUE,tbl_tasks[Technology]=$B$6)),12),"")</f>
        <v>45599</v>
      </c>
      <c r="F20" s="65" cm="1">
        <f t="array" ref="F20">IFERROR(INDEX(_xlfn._xlws.FILTER(tbl_tasks[Duration],(tbl_tasks[Project_ID]=$A$4)*IF($B$6="All",TRUE,tbl_tasks[Technology]=$B$6)),12),"")</f>
        <v>50</v>
      </c>
      <c r="G20" s="66" t="str" cm="1">
        <f t="array" ref="G20">IFERROR(INDEX(_xlfn._xlws.FILTER(tbl_tasks[Status],(tbl_tasks[Project_ID]=$A$4)*IF($B$6="All",TRUE,tbl_tasks[Technology]=$B$6)),12),"")</f>
        <v>Planned</v>
      </c>
      <c r="H20" s="67" t="str">
        <f t="shared" si="2"/>
        <v/>
      </c>
      <c r="I20" s="67" t="str">
        <f t="shared" si="2"/>
        <v/>
      </c>
      <c r="J20" s="67" t="str">
        <f t="shared" si="2"/>
        <v/>
      </c>
      <c r="K20" s="67" t="str">
        <f t="shared" si="2"/>
        <v/>
      </c>
      <c r="L20" s="67" t="str">
        <f t="shared" si="2"/>
        <v/>
      </c>
      <c r="M20" s="67" t="str">
        <f t="shared" si="2"/>
        <v/>
      </c>
      <c r="N20" s="67" t="str">
        <f t="shared" si="2"/>
        <v/>
      </c>
      <c r="O20" s="67" t="str">
        <f t="shared" si="2"/>
        <v/>
      </c>
      <c r="P20" s="67" t="str">
        <f t="shared" si="2"/>
        <v/>
      </c>
      <c r="Q20" s="67" t="str">
        <f t="shared" si="2"/>
        <v/>
      </c>
      <c r="R20" s="67" t="str">
        <f t="shared" si="2"/>
        <v/>
      </c>
      <c r="S20" s="67" t="str">
        <f t="shared" si="2"/>
        <v/>
      </c>
      <c r="T20" s="67" t="str">
        <f t="shared" si="2"/>
        <v/>
      </c>
      <c r="U20" s="67" t="str">
        <f t="shared" si="2"/>
        <v/>
      </c>
      <c r="V20" s="67" t="str">
        <f t="shared" si="2"/>
        <v/>
      </c>
      <c r="W20" s="67" t="str">
        <f t="shared" si="2"/>
        <v/>
      </c>
      <c r="X20" s="67" t="str">
        <f t="shared" si="5"/>
        <v/>
      </c>
      <c r="Y20" s="67" t="str">
        <f t="shared" si="5"/>
        <v/>
      </c>
      <c r="Z20" s="67" t="str">
        <f t="shared" si="5"/>
        <v/>
      </c>
      <c r="AA20" s="67" t="str">
        <f t="shared" si="5"/>
        <v/>
      </c>
      <c r="AB20" s="67" t="str">
        <f t="shared" si="5"/>
        <v>Solar</v>
      </c>
      <c r="AC20" s="67" t="str">
        <f t="shared" si="5"/>
        <v>Solar</v>
      </c>
      <c r="AD20" s="67" t="str">
        <f t="shared" si="5"/>
        <v>Solar</v>
      </c>
      <c r="AE20" s="67" t="str">
        <f t="shared" si="5"/>
        <v/>
      </c>
      <c r="AF20" s="67" t="str">
        <f t="shared" si="5"/>
        <v/>
      </c>
      <c r="AG20" s="67" t="str">
        <f t="shared" si="5"/>
        <v/>
      </c>
      <c r="AH20" s="67" t="str">
        <f t="shared" si="5"/>
        <v/>
      </c>
      <c r="AI20" s="67" t="str">
        <f t="shared" si="5"/>
        <v/>
      </c>
      <c r="AJ20" s="67" t="str">
        <f t="shared" si="5"/>
        <v/>
      </c>
      <c r="AK20" s="67" t="str">
        <f t="shared" si="5"/>
        <v/>
      </c>
      <c r="AL20" s="67" t="str">
        <f t="shared" si="5"/>
        <v/>
      </c>
      <c r="AM20" s="67" t="str">
        <f t="shared" si="5"/>
        <v/>
      </c>
      <c r="AN20" s="67" t="str">
        <f t="shared" si="3"/>
        <v/>
      </c>
      <c r="AO20" s="67" t="str">
        <f t="shared" si="3"/>
        <v/>
      </c>
      <c r="AP20" s="67" t="str">
        <f t="shared" si="3"/>
        <v/>
      </c>
      <c r="AQ20" s="67" t="str">
        <f t="shared" si="3"/>
        <v/>
      </c>
      <c r="AR20" s="67" t="str">
        <f t="shared" si="3"/>
        <v/>
      </c>
      <c r="AS20" s="67" t="str">
        <f t="shared" si="4"/>
        <v/>
      </c>
      <c r="AT20" s="67" t="str">
        <f t="shared" si="4"/>
        <v/>
      </c>
      <c r="AU20" s="68" t="str">
        <f t="shared" si="4"/>
        <v/>
      </c>
      <c r="AV20" s="69" t="str">
        <f t="shared" si="4"/>
        <v/>
      </c>
      <c r="AW20" s="67" t="str">
        <f t="shared" si="4"/>
        <v/>
      </c>
      <c r="AX20" s="67" t="str">
        <f t="shared" si="4"/>
        <v/>
      </c>
      <c r="AY20" s="67" t="str">
        <f t="shared" si="4"/>
        <v/>
      </c>
      <c r="AZ20" s="67" t="str">
        <f t="shared" si="4"/>
        <v/>
      </c>
      <c r="BA20" s="67" t="str">
        <f t="shared" si="4"/>
        <v/>
      </c>
      <c r="BB20" s="67" t="str">
        <f t="shared" si="4"/>
        <v/>
      </c>
      <c r="BC20" s="67" t="str">
        <f t="shared" si="4"/>
        <v/>
      </c>
    </row>
    <row r="21" spans="1:55" ht="19.95" customHeight="1" x14ac:dyDescent="0.3">
      <c r="A21" s="62" cm="1">
        <f t="array" ref="A21">IFERROR(INDEX(_xlfn._xlws.FILTER(tbl_tasks[Final_Priority],(tbl_tasks[Project_ID]=$A$4)*IF($B$6="All",TRUE,tbl_tasks[Technology]=$B$6)),13),"")</f>
        <v>13</v>
      </c>
      <c r="B21" s="63" t="str" cm="1">
        <f t="array" ref="B21">IFERROR(INDEX(_xlfn._xlws.FILTER(tbl_tasks[Technology],(tbl_tasks[Project_ID]=$A$4)*IF($B$6="All",TRUE,tbl_tasks[Technology]=$B$6)),13),"")</f>
        <v>Solar</v>
      </c>
      <c r="C21" s="63" t="str" cm="1">
        <f t="array" ref="C21">IFERROR(INDEX(_xlfn._xlws.FILTER(tbl_tasks[Task_Name],(tbl_tasks[Project_ID]=$A$4)*IF($B$6="All",TRUE,tbl_tasks[Technology]=$B$6)),13),"")</f>
        <v>Panel installation</v>
      </c>
      <c r="D21" s="64" cm="1">
        <f t="array" ref="D21">IFERROR(INDEX(_xlfn._xlws.FILTER(tbl_tasks[Start_Date],(tbl_tasks[Project_ID]=$A$4)*IF($B$6="All",TRUE,tbl_tasks[Technology]=$B$6)),13),"")</f>
        <v>45599</v>
      </c>
      <c r="E21" s="64" cm="1">
        <f t="array" ref="E21">IFERROR(INDEX(_xlfn._xlws.FILTER(tbl_tasks[End_Date],(tbl_tasks[Project_ID]=$A$4)*IF($B$6="All",TRUE,tbl_tasks[Technology]=$B$6)),13),"")</f>
        <v>45649</v>
      </c>
      <c r="F21" s="65" cm="1">
        <f t="array" ref="F21">IFERROR(INDEX(_xlfn._xlws.FILTER(tbl_tasks[Duration],(tbl_tasks[Project_ID]=$A$4)*IF($B$6="All",TRUE,tbl_tasks[Technology]=$B$6)),13),"")</f>
        <v>50</v>
      </c>
      <c r="G21" s="66" t="str" cm="1">
        <f t="array" ref="G21">IFERROR(INDEX(_xlfn._xlws.FILTER(tbl_tasks[Status],(tbl_tasks[Project_ID]=$A$4)*IF($B$6="All",TRUE,tbl_tasks[Technology]=$B$6)),13),"")</f>
        <v>Planned</v>
      </c>
      <c r="H21" s="67" t="str">
        <f t="shared" si="2"/>
        <v/>
      </c>
      <c r="I21" s="67" t="str">
        <f t="shared" si="2"/>
        <v/>
      </c>
      <c r="J21" s="67" t="str">
        <f t="shared" si="2"/>
        <v/>
      </c>
      <c r="K21" s="67" t="str">
        <f t="shared" si="2"/>
        <v/>
      </c>
      <c r="L21" s="67" t="str">
        <f t="shared" si="2"/>
        <v/>
      </c>
      <c r="M21" s="67" t="str">
        <f t="shared" si="2"/>
        <v/>
      </c>
      <c r="N21" s="67" t="str">
        <f t="shared" si="2"/>
        <v/>
      </c>
      <c r="O21" s="67" t="str">
        <f t="shared" si="2"/>
        <v/>
      </c>
      <c r="P21" s="67" t="str">
        <f t="shared" si="2"/>
        <v/>
      </c>
      <c r="Q21" s="67" t="str">
        <f t="shared" si="2"/>
        <v/>
      </c>
      <c r="R21" s="67" t="str">
        <f t="shared" si="2"/>
        <v/>
      </c>
      <c r="S21" s="67" t="str">
        <f t="shared" si="2"/>
        <v/>
      </c>
      <c r="T21" s="67" t="str">
        <f t="shared" si="2"/>
        <v/>
      </c>
      <c r="U21" s="67" t="str">
        <f t="shared" si="2"/>
        <v/>
      </c>
      <c r="V21" s="67" t="str">
        <f t="shared" si="2"/>
        <v/>
      </c>
      <c r="W21" s="67" t="str">
        <f t="shared" si="2"/>
        <v/>
      </c>
      <c r="X21" s="67" t="str">
        <f t="shared" si="5"/>
        <v/>
      </c>
      <c r="Y21" s="67" t="str">
        <f t="shared" si="5"/>
        <v/>
      </c>
      <c r="Z21" s="67" t="str">
        <f t="shared" si="5"/>
        <v/>
      </c>
      <c r="AA21" s="67" t="str">
        <f t="shared" si="5"/>
        <v/>
      </c>
      <c r="AB21" s="67" t="str">
        <f t="shared" si="5"/>
        <v/>
      </c>
      <c r="AC21" s="67" t="str">
        <f t="shared" si="5"/>
        <v/>
      </c>
      <c r="AD21" s="67" t="str">
        <f t="shared" si="5"/>
        <v>Solar</v>
      </c>
      <c r="AE21" s="67" t="str">
        <f t="shared" si="5"/>
        <v>Solar</v>
      </c>
      <c r="AF21" s="67" t="str">
        <f t="shared" si="5"/>
        <v/>
      </c>
      <c r="AG21" s="67" t="str">
        <f t="shared" si="5"/>
        <v/>
      </c>
      <c r="AH21" s="67" t="str">
        <f t="shared" si="5"/>
        <v/>
      </c>
      <c r="AI21" s="67" t="str">
        <f t="shared" si="5"/>
        <v/>
      </c>
      <c r="AJ21" s="67" t="str">
        <f t="shared" si="5"/>
        <v/>
      </c>
      <c r="AK21" s="67" t="str">
        <f t="shared" si="5"/>
        <v/>
      </c>
      <c r="AL21" s="67" t="str">
        <f t="shared" si="5"/>
        <v/>
      </c>
      <c r="AM21" s="67" t="str">
        <f t="shared" si="5"/>
        <v/>
      </c>
      <c r="AN21" s="67" t="str">
        <f t="shared" si="3"/>
        <v/>
      </c>
      <c r="AO21" s="67" t="str">
        <f t="shared" si="3"/>
        <v/>
      </c>
      <c r="AP21" s="67" t="str">
        <f t="shared" si="3"/>
        <v/>
      </c>
      <c r="AQ21" s="67" t="str">
        <f t="shared" si="3"/>
        <v/>
      </c>
      <c r="AR21" s="67" t="str">
        <f t="shared" si="3"/>
        <v/>
      </c>
      <c r="AS21" s="67" t="str">
        <f t="shared" si="4"/>
        <v/>
      </c>
      <c r="AT21" s="67" t="str">
        <f t="shared" si="4"/>
        <v/>
      </c>
      <c r="AU21" s="68" t="str">
        <f t="shared" si="4"/>
        <v/>
      </c>
      <c r="AV21" s="69" t="str">
        <f t="shared" si="4"/>
        <v/>
      </c>
      <c r="AW21" s="67" t="str">
        <f t="shared" si="4"/>
        <v/>
      </c>
      <c r="AX21" s="67" t="str">
        <f t="shared" si="4"/>
        <v/>
      </c>
      <c r="AY21" s="67" t="str">
        <f t="shared" si="4"/>
        <v/>
      </c>
      <c r="AZ21" s="67" t="str">
        <f t="shared" si="4"/>
        <v/>
      </c>
      <c r="BA21" s="67" t="str">
        <f t="shared" si="4"/>
        <v/>
      </c>
      <c r="BB21" s="67" t="str">
        <f t="shared" si="4"/>
        <v/>
      </c>
      <c r="BC21" s="67" t="str">
        <f t="shared" si="4"/>
        <v/>
      </c>
    </row>
    <row r="22" spans="1:55" ht="19.95" customHeight="1" x14ac:dyDescent="0.3">
      <c r="A22" s="62" cm="1">
        <f t="array" ref="A22">IFERROR(INDEX(_xlfn._xlws.FILTER(tbl_tasks[Final_Priority],(tbl_tasks[Project_ID]=$A$4)*IF($B$6="All",TRUE,tbl_tasks[Technology]=$B$6)),14),"")</f>
        <v>14</v>
      </c>
      <c r="B22" s="63" t="str" cm="1">
        <f t="array" ref="B22">IFERROR(INDEX(_xlfn._xlws.FILTER(tbl_tasks[Technology],(tbl_tasks[Project_ID]=$A$4)*IF($B$6="All",TRUE,tbl_tasks[Technology]=$B$6)),14),"")</f>
        <v>Solar</v>
      </c>
      <c r="C22" s="63" t="str" cm="1">
        <f t="array" ref="C22">IFERROR(INDEX(_xlfn._xlws.FILTER(tbl_tasks[Task_Name],(tbl_tasks[Project_ID]=$A$4)*IF($B$6="All",TRUE,tbl_tasks[Technology]=$B$6)),14),"")</f>
        <v>Inverter installation &amp; testing</v>
      </c>
      <c r="D22" s="64" cm="1">
        <f t="array" ref="D22">IFERROR(INDEX(_xlfn._xlws.FILTER(tbl_tasks[Start_Date],(tbl_tasks[Project_ID]=$A$4)*IF($B$6="All",TRUE,tbl_tasks[Technology]=$B$6)),14),"")</f>
        <v>45649</v>
      </c>
      <c r="E22" s="64" cm="1">
        <f t="array" ref="E22">IFERROR(INDEX(_xlfn._xlws.FILTER(tbl_tasks[End_Date],(tbl_tasks[Project_ID]=$A$4)*IF($B$6="All",TRUE,tbl_tasks[Technology]=$B$6)),14),"")</f>
        <v>45699</v>
      </c>
      <c r="F22" s="65" cm="1">
        <f t="array" ref="F22">IFERROR(INDEX(_xlfn._xlws.FILTER(tbl_tasks[Duration],(tbl_tasks[Project_ID]=$A$4)*IF($B$6="All",TRUE,tbl_tasks[Technology]=$B$6)),14),"")</f>
        <v>50</v>
      </c>
      <c r="G22" s="66" t="str" cm="1">
        <f t="array" ref="G22">IFERROR(INDEX(_xlfn._xlws.FILTER(tbl_tasks[Status],(tbl_tasks[Project_ID]=$A$4)*IF($B$6="All",TRUE,tbl_tasks[Technology]=$B$6)),14),"")</f>
        <v>Planned</v>
      </c>
      <c r="H22" s="67" t="str">
        <f t="shared" si="2"/>
        <v/>
      </c>
      <c r="I22" s="67" t="str">
        <f t="shared" si="2"/>
        <v/>
      </c>
      <c r="J22" s="67" t="str">
        <f t="shared" si="2"/>
        <v/>
      </c>
      <c r="K22" s="67" t="str">
        <f t="shared" si="2"/>
        <v/>
      </c>
      <c r="L22" s="67" t="str">
        <f t="shared" si="2"/>
        <v/>
      </c>
      <c r="M22" s="67" t="str">
        <f t="shared" si="2"/>
        <v/>
      </c>
      <c r="N22" s="67" t="str">
        <f t="shared" si="2"/>
        <v/>
      </c>
      <c r="O22" s="67" t="str">
        <f t="shared" si="2"/>
        <v/>
      </c>
      <c r="P22" s="67" t="str">
        <f t="shared" si="2"/>
        <v/>
      </c>
      <c r="Q22" s="67" t="str">
        <f t="shared" si="2"/>
        <v/>
      </c>
      <c r="R22" s="67" t="str">
        <f t="shared" si="2"/>
        <v/>
      </c>
      <c r="S22" s="67" t="str">
        <f t="shared" si="2"/>
        <v/>
      </c>
      <c r="T22" s="67" t="str">
        <f t="shared" si="2"/>
        <v/>
      </c>
      <c r="U22" s="67" t="str">
        <f t="shared" si="2"/>
        <v/>
      </c>
      <c r="V22" s="67" t="str">
        <f t="shared" si="2"/>
        <v/>
      </c>
      <c r="W22" s="67" t="str">
        <f t="shared" si="2"/>
        <v/>
      </c>
      <c r="X22" s="67" t="str">
        <f t="shared" si="5"/>
        <v/>
      </c>
      <c r="Y22" s="67" t="str">
        <f t="shared" si="5"/>
        <v/>
      </c>
      <c r="Z22" s="67" t="str">
        <f t="shared" si="5"/>
        <v/>
      </c>
      <c r="AA22" s="67" t="str">
        <f t="shared" si="5"/>
        <v/>
      </c>
      <c r="AB22" s="67" t="str">
        <f t="shared" si="5"/>
        <v/>
      </c>
      <c r="AC22" s="67" t="str">
        <f t="shared" si="5"/>
        <v/>
      </c>
      <c r="AD22" s="67" t="str">
        <f t="shared" si="5"/>
        <v/>
      </c>
      <c r="AE22" s="67" t="str">
        <f t="shared" si="5"/>
        <v>Solar</v>
      </c>
      <c r="AF22" s="67" t="str">
        <f t="shared" si="5"/>
        <v>Solar</v>
      </c>
      <c r="AG22" s="67" t="str">
        <f t="shared" si="5"/>
        <v>Solar</v>
      </c>
      <c r="AH22" s="67" t="str">
        <f t="shared" si="5"/>
        <v/>
      </c>
      <c r="AI22" s="67" t="str">
        <f t="shared" si="5"/>
        <v/>
      </c>
      <c r="AJ22" s="67" t="str">
        <f t="shared" si="5"/>
        <v/>
      </c>
      <c r="AK22" s="67" t="str">
        <f t="shared" si="5"/>
        <v/>
      </c>
      <c r="AL22" s="67" t="str">
        <f t="shared" si="5"/>
        <v/>
      </c>
      <c r="AM22" s="67" t="str">
        <f t="shared" si="5"/>
        <v/>
      </c>
      <c r="AN22" s="67" t="str">
        <f t="shared" si="3"/>
        <v/>
      </c>
      <c r="AO22" s="67" t="str">
        <f t="shared" si="3"/>
        <v/>
      </c>
      <c r="AP22" s="67" t="str">
        <f t="shared" si="3"/>
        <v/>
      </c>
      <c r="AQ22" s="67" t="str">
        <f t="shared" si="3"/>
        <v/>
      </c>
      <c r="AR22" s="67" t="str">
        <f t="shared" si="3"/>
        <v/>
      </c>
      <c r="AS22" s="67" t="str">
        <f t="shared" si="4"/>
        <v/>
      </c>
      <c r="AT22" s="67" t="str">
        <f t="shared" si="4"/>
        <v/>
      </c>
      <c r="AU22" s="68" t="str">
        <f t="shared" si="4"/>
        <v/>
      </c>
      <c r="AV22" s="69" t="str">
        <f t="shared" si="4"/>
        <v/>
      </c>
      <c r="AW22" s="67" t="str">
        <f t="shared" si="4"/>
        <v/>
      </c>
      <c r="AX22" s="67" t="str">
        <f t="shared" si="4"/>
        <v/>
      </c>
      <c r="AY22" s="67" t="str">
        <f t="shared" si="4"/>
        <v/>
      </c>
      <c r="AZ22" s="67" t="str">
        <f t="shared" si="4"/>
        <v/>
      </c>
      <c r="BA22" s="67" t="str">
        <f t="shared" si="4"/>
        <v/>
      </c>
      <c r="BB22" s="67" t="str">
        <f t="shared" si="4"/>
        <v/>
      </c>
      <c r="BC22" s="67" t="str">
        <f t="shared" si="4"/>
        <v/>
      </c>
    </row>
    <row r="23" spans="1:55" ht="19.95" customHeight="1" x14ac:dyDescent="0.3">
      <c r="A23" s="62" cm="1">
        <f t="array" ref="A23">IFERROR(INDEX(_xlfn._xlws.FILTER(tbl_tasks[Final_Priority],(tbl_tasks[Project_ID]=$A$4)*IF($B$6="All",TRUE,tbl_tasks[Technology]=$B$6)),15),"")</f>
        <v>15</v>
      </c>
      <c r="B23" s="63" t="str" cm="1">
        <f t="array" ref="B23">IFERROR(INDEX(_xlfn._xlws.FILTER(tbl_tasks[Technology],(tbl_tasks[Project_ID]=$A$4)*IF($B$6="All",TRUE,tbl_tasks[Technology]=$B$6)),15),"")</f>
        <v>Solar</v>
      </c>
      <c r="C23" s="63" t="str" cm="1">
        <f t="array" ref="C23">IFERROR(INDEX(_xlfn._xlws.FILTER(tbl_tasks[Task_Name],(tbl_tasks[Project_ID]=$A$4)*IF($B$6="All",TRUE,tbl_tasks[Technology]=$B$6)),15),"")</f>
        <v>Monitoring system installation</v>
      </c>
      <c r="D23" s="64" cm="1">
        <f t="array" ref="D23">IFERROR(INDEX(_xlfn._xlws.FILTER(tbl_tasks[Start_Date],(tbl_tasks[Project_ID]=$A$4)*IF($B$6="All",TRUE,tbl_tasks[Technology]=$B$6)),15),"")</f>
        <v>45699</v>
      </c>
      <c r="E23" s="64" cm="1">
        <f t="array" ref="E23">IFERROR(INDEX(_xlfn._xlws.FILTER(tbl_tasks[End_Date],(tbl_tasks[Project_ID]=$A$4)*IF($B$6="All",TRUE,tbl_tasks[Technology]=$B$6)),15),"")</f>
        <v>45750</v>
      </c>
      <c r="F23" s="65" cm="1">
        <f t="array" ref="F23">IFERROR(INDEX(_xlfn._xlws.FILTER(tbl_tasks[Duration],(tbl_tasks[Project_ID]=$A$4)*IF($B$6="All",TRUE,tbl_tasks[Technology]=$B$6)),15),"")</f>
        <v>51</v>
      </c>
      <c r="G23" s="66" t="str" cm="1">
        <f t="array" ref="G23">IFERROR(INDEX(_xlfn._xlws.FILTER(tbl_tasks[Status],(tbl_tasks[Project_ID]=$A$4)*IF($B$6="All",TRUE,tbl_tasks[Technology]=$B$6)),15),"")</f>
        <v>Planned</v>
      </c>
      <c r="H23" s="67" t="str">
        <f t="shared" si="2"/>
        <v/>
      </c>
      <c r="I23" s="67" t="str">
        <f t="shared" si="2"/>
        <v/>
      </c>
      <c r="J23" s="67" t="str">
        <f t="shared" si="2"/>
        <v/>
      </c>
      <c r="K23" s="67" t="str">
        <f t="shared" si="2"/>
        <v/>
      </c>
      <c r="L23" s="67" t="str">
        <f t="shared" si="2"/>
        <v/>
      </c>
      <c r="M23" s="67" t="str">
        <f t="shared" si="2"/>
        <v/>
      </c>
      <c r="N23" s="67" t="str">
        <f t="shared" si="2"/>
        <v/>
      </c>
      <c r="O23" s="67" t="str">
        <f t="shared" si="2"/>
        <v/>
      </c>
      <c r="P23" s="67" t="str">
        <f t="shared" si="2"/>
        <v/>
      </c>
      <c r="Q23" s="67" t="str">
        <f t="shared" si="2"/>
        <v/>
      </c>
      <c r="R23" s="67" t="str">
        <f t="shared" si="2"/>
        <v/>
      </c>
      <c r="S23" s="67" t="str">
        <f t="shared" si="2"/>
        <v/>
      </c>
      <c r="T23" s="67" t="str">
        <f t="shared" si="2"/>
        <v/>
      </c>
      <c r="U23" s="67" t="str">
        <f t="shared" si="2"/>
        <v/>
      </c>
      <c r="V23" s="67" t="str">
        <f t="shared" si="2"/>
        <v/>
      </c>
      <c r="W23" s="67" t="str">
        <f t="shared" si="2"/>
        <v/>
      </c>
      <c r="X23" s="67" t="str">
        <f t="shared" si="5"/>
        <v/>
      </c>
      <c r="Y23" s="67" t="str">
        <f t="shared" si="5"/>
        <v/>
      </c>
      <c r="Z23" s="67" t="str">
        <f t="shared" si="5"/>
        <v/>
      </c>
      <c r="AA23" s="67" t="str">
        <f t="shared" si="5"/>
        <v/>
      </c>
      <c r="AB23" s="67" t="str">
        <f t="shared" si="5"/>
        <v/>
      </c>
      <c r="AC23" s="67" t="str">
        <f t="shared" si="5"/>
        <v/>
      </c>
      <c r="AD23" s="67" t="str">
        <f t="shared" si="5"/>
        <v/>
      </c>
      <c r="AE23" s="67" t="str">
        <f t="shared" si="5"/>
        <v/>
      </c>
      <c r="AF23" s="67" t="str">
        <f t="shared" si="5"/>
        <v/>
      </c>
      <c r="AG23" s="67" t="str">
        <f t="shared" si="5"/>
        <v>Solar</v>
      </c>
      <c r="AH23" s="67" t="str">
        <f t="shared" si="5"/>
        <v>Solar</v>
      </c>
      <c r="AI23" s="67" t="str">
        <f t="shared" si="5"/>
        <v>Solar</v>
      </c>
      <c r="AJ23" s="67" t="str">
        <f t="shared" si="5"/>
        <v/>
      </c>
      <c r="AK23" s="67" t="str">
        <f t="shared" si="5"/>
        <v/>
      </c>
      <c r="AL23" s="67" t="str">
        <f t="shared" si="5"/>
        <v/>
      </c>
      <c r="AM23" s="67" t="str">
        <f t="shared" si="5"/>
        <v/>
      </c>
      <c r="AN23" s="67" t="str">
        <f t="shared" si="3"/>
        <v/>
      </c>
      <c r="AO23" s="67" t="str">
        <f t="shared" si="3"/>
        <v/>
      </c>
      <c r="AP23" s="67" t="str">
        <f t="shared" si="3"/>
        <v/>
      </c>
      <c r="AQ23" s="67" t="str">
        <f t="shared" si="3"/>
        <v/>
      </c>
      <c r="AR23" s="67" t="str">
        <f t="shared" si="3"/>
        <v/>
      </c>
      <c r="AS23" s="67" t="str">
        <f t="shared" si="4"/>
        <v/>
      </c>
      <c r="AT23" s="67" t="str">
        <f t="shared" si="4"/>
        <v/>
      </c>
      <c r="AU23" s="68" t="str">
        <f t="shared" si="4"/>
        <v/>
      </c>
      <c r="AV23" s="69" t="str">
        <f t="shared" si="4"/>
        <v/>
      </c>
      <c r="AW23" s="67" t="str">
        <f t="shared" si="4"/>
        <v/>
      </c>
      <c r="AX23" s="67" t="str">
        <f t="shared" si="4"/>
        <v/>
      </c>
      <c r="AY23" s="67" t="str">
        <f t="shared" si="4"/>
        <v/>
      </c>
      <c r="AZ23" s="67" t="str">
        <f t="shared" si="4"/>
        <v/>
      </c>
      <c r="BA23" s="67" t="str">
        <f t="shared" si="4"/>
        <v/>
      </c>
      <c r="BB23" s="67" t="str">
        <f t="shared" si="4"/>
        <v/>
      </c>
      <c r="BC23" s="67" t="str">
        <f t="shared" si="4"/>
        <v/>
      </c>
    </row>
    <row r="24" spans="1:55" ht="19.95" customHeight="1" x14ac:dyDescent="0.3">
      <c r="A24" s="62" cm="1">
        <f t="array" ref="A24">IFERROR(INDEX(_xlfn._xlws.FILTER(tbl_tasks[Final_Priority],(tbl_tasks[Project_ID]=$A$4)*IF($B$6="All",TRUE,tbl_tasks[Technology]=$B$6)),16),"")</f>
        <v>16</v>
      </c>
      <c r="B24" s="63" t="str" cm="1">
        <f t="array" ref="B24">IFERROR(INDEX(_xlfn._xlws.FILTER(tbl_tasks[Technology],(tbl_tasks[Project_ID]=$A$4)*IF($B$6="All",TRUE,tbl_tasks[Technology]=$B$6)),16),"")</f>
        <v>Wind</v>
      </c>
      <c r="C24" s="63" t="str" cm="1">
        <f t="array" ref="C24">IFERROR(INDEX(_xlfn._xlws.FILTER(tbl_tasks[Task_Name],(tbl_tasks[Project_ID]=$A$4)*IF($B$6="All",TRUE,tbl_tasks[Technology]=$B$6)),16),"")</f>
        <v>Site preparation</v>
      </c>
      <c r="D24" s="64" cm="1">
        <f t="array" ref="D24">IFERROR(INDEX(_xlfn._xlws.FILTER(tbl_tasks[Start_Date],(tbl_tasks[Project_ID]=$A$4)*IF($B$6="All",TRUE,tbl_tasks[Technology]=$B$6)),16),"")</f>
        <v>45499</v>
      </c>
      <c r="E24" s="64" cm="1">
        <f t="array" ref="E24">IFERROR(INDEX(_xlfn._xlws.FILTER(tbl_tasks[End_Date],(tbl_tasks[Project_ID]=$A$4)*IF($B$6="All",TRUE,tbl_tasks[Technology]=$B$6)),16),"")</f>
        <v>45549</v>
      </c>
      <c r="F24" s="65" cm="1">
        <f t="array" ref="F24">IFERROR(INDEX(_xlfn._xlws.FILTER(tbl_tasks[Duration],(tbl_tasks[Project_ID]=$A$4)*IF($B$6="All",TRUE,tbl_tasks[Technology]=$B$6)),16),"")</f>
        <v>50</v>
      </c>
      <c r="G24" s="66" t="str" cm="1">
        <f t="array" ref="G24">IFERROR(INDEX(_xlfn._xlws.FILTER(tbl_tasks[Status],(tbl_tasks[Project_ID]=$A$4)*IF($B$6="All",TRUE,tbl_tasks[Technology]=$B$6)),16),"")</f>
        <v>Planned</v>
      </c>
      <c r="H24" s="67" t="str">
        <f t="shared" si="2"/>
        <v/>
      </c>
      <c r="I24" s="67" t="str">
        <f t="shared" si="2"/>
        <v/>
      </c>
      <c r="J24" s="67" t="str">
        <f t="shared" si="2"/>
        <v/>
      </c>
      <c r="K24" s="67" t="str">
        <f t="shared" si="2"/>
        <v/>
      </c>
      <c r="L24" s="67" t="str">
        <f t="shared" si="2"/>
        <v/>
      </c>
      <c r="M24" s="67" t="str">
        <f t="shared" si="2"/>
        <v/>
      </c>
      <c r="N24" s="67" t="str">
        <f t="shared" si="2"/>
        <v/>
      </c>
      <c r="O24" s="67" t="str">
        <f t="shared" si="2"/>
        <v/>
      </c>
      <c r="P24" s="67" t="str">
        <f t="shared" si="2"/>
        <v/>
      </c>
      <c r="Q24" s="67" t="str">
        <f t="shared" si="2"/>
        <v/>
      </c>
      <c r="R24" s="67" t="str">
        <f t="shared" si="2"/>
        <v/>
      </c>
      <c r="S24" s="67" t="str">
        <f t="shared" si="2"/>
        <v/>
      </c>
      <c r="T24" s="67" t="str">
        <f t="shared" si="2"/>
        <v/>
      </c>
      <c r="U24" s="67" t="str">
        <f t="shared" si="2"/>
        <v/>
      </c>
      <c r="V24" s="67" t="str">
        <f t="shared" si="2"/>
        <v/>
      </c>
      <c r="W24" s="67" t="str">
        <f t="shared" si="2"/>
        <v/>
      </c>
      <c r="X24" s="67" t="str">
        <f t="shared" si="5"/>
        <v/>
      </c>
      <c r="Y24" s="67" t="str">
        <f t="shared" si="5"/>
        <v/>
      </c>
      <c r="Z24" s="67" t="str">
        <f t="shared" si="5"/>
        <v>Wind</v>
      </c>
      <c r="AA24" s="67" t="str">
        <f t="shared" si="5"/>
        <v>Wind</v>
      </c>
      <c r="AB24" s="67" t="str">
        <f t="shared" si="5"/>
        <v>Wind</v>
      </c>
      <c r="AC24" s="67" t="str">
        <f t="shared" si="5"/>
        <v/>
      </c>
      <c r="AD24" s="67" t="str">
        <f t="shared" si="5"/>
        <v/>
      </c>
      <c r="AE24" s="67" t="str">
        <f t="shared" si="5"/>
        <v/>
      </c>
      <c r="AF24" s="67" t="str">
        <f t="shared" si="5"/>
        <v/>
      </c>
      <c r="AG24" s="67" t="str">
        <f t="shared" si="5"/>
        <v/>
      </c>
      <c r="AH24" s="67" t="str">
        <f t="shared" si="5"/>
        <v/>
      </c>
      <c r="AI24" s="67" t="str">
        <f t="shared" si="5"/>
        <v/>
      </c>
      <c r="AJ24" s="67" t="str">
        <f t="shared" si="5"/>
        <v/>
      </c>
      <c r="AK24" s="67" t="str">
        <f t="shared" si="5"/>
        <v/>
      </c>
      <c r="AL24" s="67" t="str">
        <f t="shared" si="5"/>
        <v/>
      </c>
      <c r="AM24" s="67" t="str">
        <f t="shared" si="5"/>
        <v/>
      </c>
      <c r="AN24" s="67" t="str">
        <f t="shared" si="3"/>
        <v/>
      </c>
      <c r="AO24" s="67" t="str">
        <f t="shared" si="3"/>
        <v/>
      </c>
      <c r="AP24" s="67" t="str">
        <f t="shared" si="3"/>
        <v/>
      </c>
      <c r="AQ24" s="67" t="str">
        <f t="shared" si="3"/>
        <v/>
      </c>
      <c r="AR24" s="67" t="str">
        <f t="shared" si="3"/>
        <v/>
      </c>
      <c r="AS24" s="67" t="str">
        <f t="shared" si="4"/>
        <v/>
      </c>
      <c r="AT24" s="67" t="str">
        <f t="shared" si="4"/>
        <v/>
      </c>
      <c r="AU24" s="68" t="str">
        <f t="shared" si="4"/>
        <v/>
      </c>
      <c r="AV24" s="69" t="str">
        <f t="shared" si="4"/>
        <v/>
      </c>
      <c r="AW24" s="67" t="str">
        <f t="shared" si="4"/>
        <v/>
      </c>
      <c r="AX24" s="67" t="str">
        <f t="shared" si="4"/>
        <v/>
      </c>
      <c r="AY24" s="67" t="str">
        <f t="shared" si="4"/>
        <v/>
      </c>
      <c r="AZ24" s="67" t="str">
        <f t="shared" si="4"/>
        <v/>
      </c>
      <c r="BA24" s="67" t="str">
        <f t="shared" si="4"/>
        <v/>
      </c>
      <c r="BB24" s="67" t="str">
        <f t="shared" si="4"/>
        <v/>
      </c>
      <c r="BC24" s="67" t="str">
        <f t="shared" si="4"/>
        <v/>
      </c>
    </row>
    <row r="25" spans="1:55" ht="19.95" customHeight="1" x14ac:dyDescent="0.3">
      <c r="A25" s="62" cm="1">
        <f t="array" ref="A25">IFERROR(INDEX(_xlfn._xlws.FILTER(tbl_tasks[Final_Priority],(tbl_tasks[Project_ID]=$A$4)*IF($B$6="All",TRUE,tbl_tasks[Technology]=$B$6)),17),"")</f>
        <v>17</v>
      </c>
      <c r="B25" s="63" t="str" cm="1">
        <f t="array" ref="B25">IFERROR(INDEX(_xlfn._xlws.FILTER(tbl_tasks[Technology],(tbl_tasks[Project_ID]=$A$4)*IF($B$6="All",TRUE,tbl_tasks[Technology]=$B$6)),17),"")</f>
        <v>Wind</v>
      </c>
      <c r="C25" s="63" t="str" cm="1">
        <f t="array" ref="C25">IFERROR(INDEX(_xlfn._xlws.FILTER(tbl_tasks[Task_Name],(tbl_tasks[Project_ID]=$A$4)*IF($B$6="All",TRUE,tbl_tasks[Technology]=$B$6)),17),"")</f>
        <v>Tower assembly</v>
      </c>
      <c r="D25" s="64" cm="1">
        <f t="array" ref="D25">IFERROR(INDEX(_xlfn._xlws.FILTER(tbl_tasks[Start_Date],(tbl_tasks[Project_ID]=$A$4)*IF($B$6="All",TRUE,tbl_tasks[Technology]=$B$6)),17),"")</f>
        <v>45549</v>
      </c>
      <c r="E25" s="64" cm="1">
        <f t="array" ref="E25">IFERROR(INDEX(_xlfn._xlws.FILTER(tbl_tasks[End_Date],(tbl_tasks[Project_ID]=$A$4)*IF($B$6="All",TRUE,tbl_tasks[Technology]=$B$6)),17),"")</f>
        <v>45599</v>
      </c>
      <c r="F25" s="65" cm="1">
        <f t="array" ref="F25">IFERROR(INDEX(_xlfn._xlws.FILTER(tbl_tasks[Duration],(tbl_tasks[Project_ID]=$A$4)*IF($B$6="All",TRUE,tbl_tasks[Technology]=$B$6)),17),"")</f>
        <v>50</v>
      </c>
      <c r="G25" s="66" t="str" cm="1">
        <f t="array" ref="G25">IFERROR(INDEX(_xlfn._xlws.FILTER(tbl_tasks[Status],(tbl_tasks[Project_ID]=$A$4)*IF($B$6="All",TRUE,tbl_tasks[Technology]=$B$6)),17),"")</f>
        <v>Planned</v>
      </c>
      <c r="H25" s="67" t="str">
        <f t="shared" si="2"/>
        <v/>
      </c>
      <c r="I25" s="67" t="str">
        <f t="shared" si="2"/>
        <v/>
      </c>
      <c r="J25" s="67" t="str">
        <f t="shared" si="2"/>
        <v/>
      </c>
      <c r="K25" s="67" t="str">
        <f t="shared" si="2"/>
        <v/>
      </c>
      <c r="L25" s="67" t="str">
        <f t="shared" si="2"/>
        <v/>
      </c>
      <c r="M25" s="67" t="str">
        <f t="shared" si="2"/>
        <v/>
      </c>
      <c r="N25" s="67" t="str">
        <f t="shared" si="2"/>
        <v/>
      </c>
      <c r="O25" s="67" t="str">
        <f t="shared" si="2"/>
        <v/>
      </c>
      <c r="P25" s="67" t="str">
        <f t="shared" si="2"/>
        <v/>
      </c>
      <c r="Q25" s="67" t="str">
        <f t="shared" si="2"/>
        <v/>
      </c>
      <c r="R25" s="67" t="str">
        <f t="shared" si="2"/>
        <v/>
      </c>
      <c r="S25" s="67" t="str">
        <f t="shared" si="2"/>
        <v/>
      </c>
      <c r="T25" s="67" t="str">
        <f t="shared" si="2"/>
        <v/>
      </c>
      <c r="U25" s="67" t="str">
        <f t="shared" si="2"/>
        <v/>
      </c>
      <c r="V25" s="67" t="str">
        <f t="shared" si="2"/>
        <v/>
      </c>
      <c r="W25" s="67" t="str">
        <f t="shared" si="2"/>
        <v/>
      </c>
      <c r="X25" s="67" t="str">
        <f t="shared" si="5"/>
        <v/>
      </c>
      <c r="Y25" s="67" t="str">
        <f t="shared" si="5"/>
        <v/>
      </c>
      <c r="Z25" s="67" t="str">
        <f t="shared" si="5"/>
        <v/>
      </c>
      <c r="AA25" s="67" t="str">
        <f t="shared" si="5"/>
        <v/>
      </c>
      <c r="AB25" s="67" t="str">
        <f t="shared" si="5"/>
        <v>Wind</v>
      </c>
      <c r="AC25" s="67" t="str">
        <f t="shared" si="5"/>
        <v>Wind</v>
      </c>
      <c r="AD25" s="67" t="str">
        <f t="shared" si="5"/>
        <v>Wind</v>
      </c>
      <c r="AE25" s="67" t="str">
        <f t="shared" si="5"/>
        <v/>
      </c>
      <c r="AF25" s="67" t="str">
        <f t="shared" si="5"/>
        <v/>
      </c>
      <c r="AG25" s="67" t="str">
        <f t="shared" si="5"/>
        <v/>
      </c>
      <c r="AH25" s="67" t="str">
        <f t="shared" si="5"/>
        <v/>
      </c>
      <c r="AI25" s="67" t="str">
        <f t="shared" si="5"/>
        <v/>
      </c>
      <c r="AJ25" s="67" t="str">
        <f t="shared" si="5"/>
        <v/>
      </c>
      <c r="AK25" s="67" t="str">
        <f t="shared" si="5"/>
        <v/>
      </c>
      <c r="AL25" s="67" t="str">
        <f t="shared" si="5"/>
        <v/>
      </c>
      <c r="AM25" s="67" t="str">
        <f t="shared" si="5"/>
        <v/>
      </c>
      <c r="AN25" s="67" t="str">
        <f t="shared" si="3"/>
        <v/>
      </c>
      <c r="AO25" s="67" t="str">
        <f t="shared" si="3"/>
        <v/>
      </c>
      <c r="AP25" s="67" t="str">
        <f t="shared" si="3"/>
        <v/>
      </c>
      <c r="AQ25" s="67" t="str">
        <f t="shared" si="3"/>
        <v/>
      </c>
      <c r="AR25" s="67" t="str">
        <f t="shared" si="3"/>
        <v/>
      </c>
      <c r="AS25" s="67" t="str">
        <f t="shared" si="4"/>
        <v/>
      </c>
      <c r="AT25" s="67" t="str">
        <f t="shared" si="4"/>
        <v/>
      </c>
      <c r="AU25" s="68" t="str">
        <f t="shared" si="4"/>
        <v/>
      </c>
      <c r="AV25" s="69" t="str">
        <f t="shared" si="4"/>
        <v/>
      </c>
      <c r="AW25" s="67" t="str">
        <f t="shared" si="4"/>
        <v/>
      </c>
      <c r="AX25" s="67" t="str">
        <f t="shared" si="4"/>
        <v/>
      </c>
      <c r="AY25" s="67" t="str">
        <f t="shared" si="4"/>
        <v/>
      </c>
      <c r="AZ25" s="67" t="str">
        <f t="shared" si="4"/>
        <v/>
      </c>
      <c r="BA25" s="67" t="str">
        <f t="shared" si="4"/>
        <v/>
      </c>
      <c r="BB25" s="67" t="str">
        <f t="shared" si="4"/>
        <v/>
      </c>
      <c r="BC25" s="67" t="str">
        <f t="shared" si="4"/>
        <v/>
      </c>
    </row>
    <row r="26" spans="1:55" ht="19.95" customHeight="1" x14ac:dyDescent="0.3">
      <c r="A26" s="62" cm="1">
        <f t="array" ref="A26">IFERROR(INDEX(_xlfn._xlws.FILTER(tbl_tasks[Final_Priority],(tbl_tasks[Project_ID]=$A$4)*IF($B$6="All",TRUE,tbl_tasks[Technology]=$B$6)),18),"")</f>
        <v>18</v>
      </c>
      <c r="B26" s="63" t="str" cm="1">
        <f t="array" ref="B26">IFERROR(INDEX(_xlfn._xlws.FILTER(tbl_tasks[Technology],(tbl_tasks[Project_ID]=$A$4)*IF($B$6="All",TRUE,tbl_tasks[Technology]=$B$6)),18),"")</f>
        <v>Wind</v>
      </c>
      <c r="C26" s="63" t="str" cm="1">
        <f t="array" ref="C26">IFERROR(INDEX(_xlfn._xlws.FILTER(tbl_tasks[Task_Name],(tbl_tasks[Project_ID]=$A$4)*IF($B$6="All",TRUE,tbl_tasks[Technology]=$B$6)),18),"")</f>
        <v>Blade transport</v>
      </c>
      <c r="D26" s="64" cm="1">
        <f t="array" ref="D26">IFERROR(INDEX(_xlfn._xlws.FILTER(tbl_tasks[Start_Date],(tbl_tasks[Project_ID]=$A$4)*IF($B$6="All",TRUE,tbl_tasks[Technology]=$B$6)),18),"")</f>
        <v>45599</v>
      </c>
      <c r="E26" s="64" cm="1">
        <f t="array" ref="E26">IFERROR(INDEX(_xlfn._xlws.FILTER(tbl_tasks[End_Date],(tbl_tasks[Project_ID]=$A$4)*IF($B$6="All",TRUE,tbl_tasks[Technology]=$B$6)),18),"")</f>
        <v>45649</v>
      </c>
      <c r="F26" s="65" cm="1">
        <f t="array" ref="F26">IFERROR(INDEX(_xlfn._xlws.FILTER(tbl_tasks[Duration],(tbl_tasks[Project_ID]=$A$4)*IF($B$6="All",TRUE,tbl_tasks[Technology]=$B$6)),18),"")</f>
        <v>50</v>
      </c>
      <c r="G26" s="66" t="str" cm="1">
        <f t="array" ref="G26">IFERROR(INDEX(_xlfn._xlws.FILTER(tbl_tasks[Status],(tbl_tasks[Project_ID]=$A$4)*IF($B$6="All",TRUE,tbl_tasks[Technology]=$B$6)),18),"")</f>
        <v>Planned</v>
      </c>
      <c r="H26" s="67" t="str">
        <f t="shared" si="2"/>
        <v/>
      </c>
      <c r="I26" s="67" t="str">
        <f t="shared" si="2"/>
        <v/>
      </c>
      <c r="J26" s="67" t="str">
        <f t="shared" si="2"/>
        <v/>
      </c>
      <c r="K26" s="67" t="str">
        <f t="shared" si="2"/>
        <v/>
      </c>
      <c r="L26" s="67" t="str">
        <f t="shared" si="2"/>
        <v/>
      </c>
      <c r="M26" s="67" t="str">
        <f t="shared" si="2"/>
        <v/>
      </c>
      <c r="N26" s="67" t="str">
        <f t="shared" si="2"/>
        <v/>
      </c>
      <c r="O26" s="67" t="str">
        <f t="shared" si="2"/>
        <v/>
      </c>
      <c r="P26" s="67" t="str">
        <f t="shared" si="2"/>
        <v/>
      </c>
      <c r="Q26" s="67" t="str">
        <f t="shared" si="2"/>
        <v/>
      </c>
      <c r="R26" s="67" t="str">
        <f t="shared" si="2"/>
        <v/>
      </c>
      <c r="S26" s="67" t="str">
        <f t="shared" si="2"/>
        <v/>
      </c>
      <c r="T26" s="67" t="str">
        <f t="shared" si="2"/>
        <v/>
      </c>
      <c r="U26" s="67" t="str">
        <f t="shared" si="2"/>
        <v/>
      </c>
      <c r="V26" s="67" t="str">
        <f t="shared" si="2"/>
        <v/>
      </c>
      <c r="W26" s="67" t="str">
        <f t="shared" si="2"/>
        <v/>
      </c>
      <c r="X26" s="67" t="str">
        <f t="shared" si="5"/>
        <v/>
      </c>
      <c r="Y26" s="67" t="str">
        <f t="shared" si="5"/>
        <v/>
      </c>
      <c r="Z26" s="67" t="str">
        <f t="shared" si="5"/>
        <v/>
      </c>
      <c r="AA26" s="67" t="str">
        <f t="shared" si="5"/>
        <v/>
      </c>
      <c r="AB26" s="67" t="str">
        <f t="shared" si="5"/>
        <v/>
      </c>
      <c r="AC26" s="67" t="str">
        <f t="shared" si="5"/>
        <v/>
      </c>
      <c r="AD26" s="67" t="str">
        <f t="shared" si="5"/>
        <v>Wind</v>
      </c>
      <c r="AE26" s="67" t="str">
        <f t="shared" si="5"/>
        <v>Wind</v>
      </c>
      <c r="AF26" s="67" t="str">
        <f t="shared" si="5"/>
        <v/>
      </c>
      <c r="AG26" s="67" t="str">
        <f t="shared" si="5"/>
        <v/>
      </c>
      <c r="AH26" s="67" t="str">
        <f t="shared" si="5"/>
        <v/>
      </c>
      <c r="AI26" s="67" t="str">
        <f t="shared" si="5"/>
        <v/>
      </c>
      <c r="AJ26" s="67" t="str">
        <f t="shared" si="5"/>
        <v/>
      </c>
      <c r="AK26" s="67" t="str">
        <f t="shared" si="5"/>
        <v/>
      </c>
      <c r="AL26" s="67" t="str">
        <f t="shared" si="5"/>
        <v/>
      </c>
      <c r="AM26" s="67" t="str">
        <f t="shared" si="5"/>
        <v/>
      </c>
      <c r="AN26" s="67" t="str">
        <f t="shared" si="3"/>
        <v/>
      </c>
      <c r="AO26" s="67" t="str">
        <f t="shared" si="3"/>
        <v/>
      </c>
      <c r="AP26" s="67" t="str">
        <f t="shared" si="3"/>
        <v/>
      </c>
      <c r="AQ26" s="67" t="str">
        <f t="shared" si="3"/>
        <v/>
      </c>
      <c r="AR26" s="67" t="str">
        <f t="shared" si="3"/>
        <v/>
      </c>
      <c r="AS26" s="67" t="str">
        <f t="shared" si="4"/>
        <v/>
      </c>
      <c r="AT26" s="67" t="str">
        <f t="shared" si="4"/>
        <v/>
      </c>
      <c r="AU26" s="68" t="str">
        <f t="shared" si="4"/>
        <v/>
      </c>
      <c r="AV26" s="69" t="str">
        <f t="shared" si="4"/>
        <v/>
      </c>
      <c r="AW26" s="67" t="str">
        <f t="shared" si="4"/>
        <v/>
      </c>
      <c r="AX26" s="67" t="str">
        <f t="shared" si="4"/>
        <v/>
      </c>
      <c r="AY26" s="67" t="str">
        <f t="shared" si="4"/>
        <v/>
      </c>
      <c r="AZ26" s="67" t="str">
        <f t="shared" si="4"/>
        <v/>
      </c>
      <c r="BA26" s="67" t="str">
        <f t="shared" si="4"/>
        <v/>
      </c>
      <c r="BB26" s="67" t="str">
        <f t="shared" si="4"/>
        <v/>
      </c>
      <c r="BC26" s="67" t="str">
        <f t="shared" si="4"/>
        <v/>
      </c>
    </row>
    <row r="27" spans="1:55" ht="19.95" customHeight="1" x14ac:dyDescent="0.3">
      <c r="A27" s="62" cm="1">
        <f t="array" ref="A27">IFERROR(INDEX(_xlfn._xlws.FILTER(tbl_tasks[Final_Priority],(tbl_tasks[Project_ID]=$A$4)*IF($B$6="All",TRUE,tbl_tasks[Technology]=$B$6)),19),"")</f>
        <v>19</v>
      </c>
      <c r="B27" s="63" t="str" cm="1">
        <f t="array" ref="B27">IFERROR(INDEX(_xlfn._xlws.FILTER(tbl_tasks[Technology],(tbl_tasks[Project_ID]=$A$4)*IF($B$6="All",TRUE,tbl_tasks[Technology]=$B$6)),19),"")</f>
        <v>Wind</v>
      </c>
      <c r="C27" s="63" t="str" cm="1">
        <f t="array" ref="C27">IFERROR(INDEX(_xlfn._xlws.FILTER(tbl_tasks[Task_Name],(tbl_tasks[Project_ID]=$A$4)*IF($B$6="All",TRUE,tbl_tasks[Technology]=$B$6)),19),"")</f>
        <v>Turbine installation</v>
      </c>
      <c r="D27" s="64" cm="1">
        <f t="array" ref="D27">IFERROR(INDEX(_xlfn._xlws.FILTER(tbl_tasks[Start_Date],(tbl_tasks[Project_ID]=$A$4)*IF($B$6="All",TRUE,tbl_tasks[Technology]=$B$6)),19),"")</f>
        <v>45649</v>
      </c>
      <c r="E27" s="64" cm="1">
        <f t="array" ref="E27">IFERROR(INDEX(_xlfn._xlws.FILTER(tbl_tasks[End_Date],(tbl_tasks[Project_ID]=$A$4)*IF($B$6="All",TRUE,tbl_tasks[Technology]=$B$6)),19),"")</f>
        <v>45699</v>
      </c>
      <c r="F27" s="65" cm="1">
        <f t="array" ref="F27">IFERROR(INDEX(_xlfn._xlws.FILTER(tbl_tasks[Duration],(tbl_tasks[Project_ID]=$A$4)*IF($B$6="All",TRUE,tbl_tasks[Technology]=$B$6)),19),"")</f>
        <v>50</v>
      </c>
      <c r="G27" s="66" t="str" cm="1">
        <f t="array" ref="G27">IFERROR(INDEX(_xlfn._xlws.FILTER(tbl_tasks[Status],(tbl_tasks[Project_ID]=$A$4)*IF($B$6="All",TRUE,tbl_tasks[Technology]=$B$6)),19),"")</f>
        <v>Planned</v>
      </c>
      <c r="H27" s="67" t="str">
        <f t="shared" si="2"/>
        <v/>
      </c>
      <c r="I27" s="67" t="str">
        <f t="shared" si="2"/>
        <v/>
      </c>
      <c r="J27" s="67" t="str">
        <f t="shared" si="2"/>
        <v/>
      </c>
      <c r="K27" s="67" t="str">
        <f t="shared" si="2"/>
        <v/>
      </c>
      <c r="L27" s="67" t="str">
        <f t="shared" si="2"/>
        <v/>
      </c>
      <c r="M27" s="67" t="str">
        <f t="shared" si="2"/>
        <v/>
      </c>
      <c r="N27" s="67" t="str">
        <f t="shared" si="2"/>
        <v/>
      </c>
      <c r="O27" s="67" t="str">
        <f t="shared" si="2"/>
        <v/>
      </c>
      <c r="P27" s="67" t="str">
        <f t="shared" si="2"/>
        <v/>
      </c>
      <c r="Q27" s="67" t="str">
        <f t="shared" si="2"/>
        <v/>
      </c>
      <c r="R27" s="67" t="str">
        <f t="shared" si="2"/>
        <v/>
      </c>
      <c r="S27" s="67" t="str">
        <f t="shared" si="2"/>
        <v/>
      </c>
      <c r="T27" s="67" t="str">
        <f t="shared" si="2"/>
        <v/>
      </c>
      <c r="U27" s="67" t="str">
        <f t="shared" si="2"/>
        <v/>
      </c>
      <c r="V27" s="67" t="str">
        <f t="shared" si="2"/>
        <v/>
      </c>
      <c r="W27" s="67" t="str">
        <f t="shared" si="2"/>
        <v/>
      </c>
      <c r="X27" s="67" t="str">
        <f t="shared" si="5"/>
        <v/>
      </c>
      <c r="Y27" s="67" t="str">
        <f t="shared" si="5"/>
        <v/>
      </c>
      <c r="Z27" s="67" t="str">
        <f t="shared" si="5"/>
        <v/>
      </c>
      <c r="AA27" s="67" t="str">
        <f t="shared" si="5"/>
        <v/>
      </c>
      <c r="AB27" s="67" t="str">
        <f t="shared" si="5"/>
        <v/>
      </c>
      <c r="AC27" s="67" t="str">
        <f t="shared" si="5"/>
        <v/>
      </c>
      <c r="AD27" s="67" t="str">
        <f t="shared" si="5"/>
        <v/>
      </c>
      <c r="AE27" s="67" t="str">
        <f t="shared" si="5"/>
        <v>Wind</v>
      </c>
      <c r="AF27" s="67" t="str">
        <f t="shared" si="5"/>
        <v>Wind</v>
      </c>
      <c r="AG27" s="67" t="str">
        <f t="shared" si="5"/>
        <v>Wind</v>
      </c>
      <c r="AH27" s="67" t="str">
        <f t="shared" si="5"/>
        <v/>
      </c>
      <c r="AI27" s="67" t="str">
        <f t="shared" si="5"/>
        <v/>
      </c>
      <c r="AJ27" s="67" t="str">
        <f t="shared" si="5"/>
        <v/>
      </c>
      <c r="AK27" s="67" t="str">
        <f t="shared" si="5"/>
        <v/>
      </c>
      <c r="AL27" s="67" t="str">
        <f t="shared" si="5"/>
        <v/>
      </c>
      <c r="AM27" s="67" t="str">
        <f t="shared" si="5"/>
        <v/>
      </c>
      <c r="AN27" s="67" t="str">
        <f t="shared" si="3"/>
        <v/>
      </c>
      <c r="AO27" s="67" t="str">
        <f t="shared" si="3"/>
        <v/>
      </c>
      <c r="AP27" s="67" t="str">
        <f t="shared" si="3"/>
        <v/>
      </c>
      <c r="AQ27" s="67" t="str">
        <f t="shared" si="3"/>
        <v/>
      </c>
      <c r="AR27" s="67" t="str">
        <f t="shared" si="3"/>
        <v/>
      </c>
      <c r="AS27" s="67" t="str">
        <f t="shared" si="4"/>
        <v/>
      </c>
      <c r="AT27" s="67" t="str">
        <f t="shared" si="4"/>
        <v/>
      </c>
      <c r="AU27" s="68" t="str">
        <f t="shared" si="4"/>
        <v/>
      </c>
      <c r="AV27" s="69" t="str">
        <f t="shared" si="4"/>
        <v/>
      </c>
      <c r="AW27" s="67" t="str">
        <f t="shared" si="4"/>
        <v/>
      </c>
      <c r="AX27" s="67" t="str">
        <f t="shared" si="4"/>
        <v/>
      </c>
      <c r="AY27" s="67" t="str">
        <f t="shared" si="4"/>
        <v/>
      </c>
      <c r="AZ27" s="67" t="str">
        <f t="shared" si="4"/>
        <v/>
      </c>
      <c r="BA27" s="67" t="str">
        <f t="shared" si="4"/>
        <v/>
      </c>
      <c r="BB27" s="67" t="str">
        <f t="shared" si="4"/>
        <v/>
      </c>
      <c r="BC27" s="67" t="str">
        <f t="shared" si="4"/>
        <v/>
      </c>
    </row>
    <row r="28" spans="1:55" ht="19.95" customHeight="1" x14ac:dyDescent="0.3">
      <c r="A28" s="62" cm="1">
        <f t="array" ref="A28">IFERROR(INDEX(_xlfn._xlws.FILTER(tbl_tasks[Final_Priority],(tbl_tasks[Project_ID]=$A$4)*IF($B$6="All",TRUE,tbl_tasks[Technology]=$B$6)),20),"")</f>
        <v>20</v>
      </c>
      <c r="B28" s="63" t="str" cm="1">
        <f t="array" ref="B28">IFERROR(INDEX(_xlfn._xlws.FILTER(tbl_tasks[Technology],(tbl_tasks[Project_ID]=$A$4)*IF($B$6="All",TRUE,tbl_tasks[Technology]=$B$6)),20),"")</f>
        <v>Wind</v>
      </c>
      <c r="C28" s="63" t="str" cm="1">
        <f t="array" ref="C28">IFERROR(INDEX(_xlfn._xlws.FILTER(tbl_tasks[Task_Name],(tbl_tasks[Project_ID]=$A$4)*IF($B$6="All",TRUE,tbl_tasks[Technology]=$B$6)),20),"")</f>
        <v>Electrical substation installation</v>
      </c>
      <c r="D28" s="64" cm="1">
        <f t="array" ref="D28">IFERROR(INDEX(_xlfn._xlws.FILTER(tbl_tasks[Start_Date],(tbl_tasks[Project_ID]=$A$4)*IF($B$6="All",TRUE,tbl_tasks[Technology]=$B$6)),20),"")</f>
        <v>45699</v>
      </c>
      <c r="E28" s="64" cm="1">
        <f t="array" ref="E28">IFERROR(INDEX(_xlfn._xlws.FILTER(tbl_tasks[End_Date],(tbl_tasks[Project_ID]=$A$4)*IF($B$6="All",TRUE,tbl_tasks[Technology]=$B$6)),20),"")</f>
        <v>45750</v>
      </c>
      <c r="F28" s="65" cm="1">
        <f t="array" ref="F28">IFERROR(INDEX(_xlfn._xlws.FILTER(tbl_tasks[Duration],(tbl_tasks[Project_ID]=$A$4)*IF($B$6="All",TRUE,tbl_tasks[Technology]=$B$6)),20),"")</f>
        <v>51</v>
      </c>
      <c r="G28" s="66" t="str" cm="1">
        <f t="array" ref="G28">IFERROR(INDEX(_xlfn._xlws.FILTER(tbl_tasks[Status],(tbl_tasks[Project_ID]=$A$4)*IF($B$6="All",TRUE,tbl_tasks[Technology]=$B$6)),20),"")</f>
        <v>Planned</v>
      </c>
      <c r="H28" s="67" t="str">
        <f t="shared" si="2"/>
        <v/>
      </c>
      <c r="I28" s="67" t="str">
        <f t="shared" si="2"/>
        <v/>
      </c>
      <c r="J28" s="67" t="str">
        <f t="shared" si="2"/>
        <v/>
      </c>
      <c r="K28" s="67" t="str">
        <f t="shared" si="2"/>
        <v/>
      </c>
      <c r="L28" s="67" t="str">
        <f t="shared" si="2"/>
        <v/>
      </c>
      <c r="M28" s="67" t="str">
        <f t="shared" si="2"/>
        <v/>
      </c>
      <c r="N28" s="67" t="str">
        <f t="shared" si="2"/>
        <v/>
      </c>
      <c r="O28" s="67" t="str">
        <f t="shared" si="2"/>
        <v/>
      </c>
      <c r="P28" s="67" t="str">
        <f t="shared" si="2"/>
        <v/>
      </c>
      <c r="Q28" s="67" t="str">
        <f t="shared" si="2"/>
        <v/>
      </c>
      <c r="R28" s="67" t="str">
        <f t="shared" si="2"/>
        <v/>
      </c>
      <c r="S28" s="67" t="str">
        <f t="shared" si="2"/>
        <v/>
      </c>
      <c r="T28" s="67" t="str">
        <f t="shared" si="2"/>
        <v/>
      </c>
      <c r="U28" s="67" t="str">
        <f t="shared" si="2"/>
        <v/>
      </c>
      <c r="V28" s="67" t="str">
        <f t="shared" si="2"/>
        <v/>
      </c>
      <c r="W28" s="67" t="str">
        <f t="shared" si="2"/>
        <v/>
      </c>
      <c r="X28" s="67" t="str">
        <f t="shared" si="5"/>
        <v/>
      </c>
      <c r="Y28" s="67" t="str">
        <f t="shared" si="5"/>
        <v/>
      </c>
      <c r="Z28" s="67" t="str">
        <f t="shared" si="5"/>
        <v/>
      </c>
      <c r="AA28" s="67" t="str">
        <f t="shared" si="5"/>
        <v/>
      </c>
      <c r="AB28" s="67" t="str">
        <f t="shared" si="5"/>
        <v/>
      </c>
      <c r="AC28" s="67" t="str">
        <f t="shared" si="5"/>
        <v/>
      </c>
      <c r="AD28" s="67" t="str">
        <f t="shared" si="5"/>
        <v/>
      </c>
      <c r="AE28" s="67" t="str">
        <f t="shared" si="5"/>
        <v/>
      </c>
      <c r="AF28" s="67" t="str">
        <f t="shared" si="5"/>
        <v/>
      </c>
      <c r="AG28" s="67" t="str">
        <f t="shared" si="5"/>
        <v>Wind</v>
      </c>
      <c r="AH28" s="67" t="str">
        <f t="shared" si="5"/>
        <v>Wind</v>
      </c>
      <c r="AI28" s="67" t="str">
        <f t="shared" si="5"/>
        <v>Wind</v>
      </c>
      <c r="AJ28" s="67" t="str">
        <f t="shared" si="5"/>
        <v/>
      </c>
      <c r="AK28" s="67" t="str">
        <f t="shared" si="5"/>
        <v/>
      </c>
      <c r="AL28" s="67" t="str">
        <f t="shared" si="5"/>
        <v/>
      </c>
      <c r="AM28" s="67" t="str">
        <f t="shared" si="5"/>
        <v/>
      </c>
      <c r="AN28" s="67" t="str">
        <f t="shared" si="3"/>
        <v/>
      </c>
      <c r="AO28" s="67" t="str">
        <f t="shared" si="3"/>
        <v/>
      </c>
      <c r="AP28" s="67" t="str">
        <f t="shared" si="3"/>
        <v/>
      </c>
      <c r="AQ28" s="67" t="str">
        <f t="shared" si="3"/>
        <v/>
      </c>
      <c r="AR28" s="67" t="str">
        <f t="shared" si="3"/>
        <v/>
      </c>
      <c r="AS28" s="67" t="str">
        <f t="shared" si="4"/>
        <v/>
      </c>
      <c r="AT28" s="67" t="str">
        <f t="shared" si="4"/>
        <v/>
      </c>
      <c r="AU28" s="68" t="str">
        <f t="shared" si="4"/>
        <v/>
      </c>
      <c r="AV28" s="69" t="str">
        <f t="shared" si="4"/>
        <v/>
      </c>
      <c r="AW28" s="67" t="str">
        <f t="shared" si="4"/>
        <v/>
      </c>
      <c r="AX28" s="67" t="str">
        <f t="shared" si="4"/>
        <v/>
      </c>
      <c r="AY28" s="67" t="str">
        <f t="shared" si="4"/>
        <v/>
      </c>
      <c r="AZ28" s="67" t="str">
        <f t="shared" si="4"/>
        <v/>
      </c>
      <c r="BA28" s="67" t="str">
        <f t="shared" si="4"/>
        <v/>
      </c>
      <c r="BB28" s="67" t="str">
        <f t="shared" si="4"/>
        <v/>
      </c>
      <c r="BC28" s="67" t="str">
        <f t="shared" si="4"/>
        <v/>
      </c>
    </row>
    <row r="29" spans="1:55" ht="19.95" customHeight="1" x14ac:dyDescent="0.3">
      <c r="A29" s="62" cm="1">
        <f t="array" ref="A29">IFERROR(INDEX(_xlfn._xlws.FILTER(tbl_tasks[Final_Priority],(tbl_tasks[Project_ID]=$A$4)*IF($B$6="All",TRUE,tbl_tasks[Technology]=$B$6)),21),"")</f>
        <v>21</v>
      </c>
      <c r="B29" s="63" t="str" cm="1">
        <f t="array" ref="B29">IFERROR(INDEX(_xlfn._xlws.FILTER(tbl_tasks[Technology],(tbl_tasks[Project_ID]=$A$4)*IF($B$6="All",TRUE,tbl_tasks[Technology]=$B$6)),21),"")</f>
        <v>Green Hydrogen</v>
      </c>
      <c r="C29" s="63" t="str" cm="1">
        <f t="array" ref="C29">IFERROR(INDEX(_xlfn._xlws.FILTER(tbl_tasks[Task_Name],(tbl_tasks[Project_ID]=$A$4)*IF($B$6="All",TRUE,tbl_tasks[Technology]=$B$6)),21),"")</f>
        <v>Electrolyzer installation</v>
      </c>
      <c r="D29" s="64" cm="1">
        <f t="array" ref="D29">IFERROR(INDEX(_xlfn._xlws.FILTER(tbl_tasks[Start_Date],(tbl_tasks[Project_ID]=$A$4)*IF($B$6="All",TRUE,tbl_tasks[Technology]=$B$6)),21),"")</f>
        <v>45499</v>
      </c>
      <c r="E29" s="64" cm="1">
        <f t="array" ref="E29">IFERROR(INDEX(_xlfn._xlws.FILTER(tbl_tasks[End_Date],(tbl_tasks[Project_ID]=$A$4)*IF($B$6="All",TRUE,tbl_tasks[Technology]=$B$6)),21),"")</f>
        <v>45549</v>
      </c>
      <c r="F29" s="65" cm="1">
        <f t="array" ref="F29">IFERROR(INDEX(_xlfn._xlws.FILTER(tbl_tasks[Duration],(tbl_tasks[Project_ID]=$A$4)*IF($B$6="All",TRUE,tbl_tasks[Technology]=$B$6)),21),"")</f>
        <v>50</v>
      </c>
      <c r="G29" s="66" t="str" cm="1">
        <f t="array" ref="G29">IFERROR(INDEX(_xlfn._xlws.FILTER(tbl_tasks[Status],(tbl_tasks[Project_ID]=$A$4)*IF($B$6="All",TRUE,tbl_tasks[Technology]=$B$6)),21),"")</f>
        <v>Planned</v>
      </c>
      <c r="H29" s="67" t="str">
        <f t="shared" si="2"/>
        <v/>
      </c>
      <c r="I29" s="67" t="str">
        <f t="shared" si="2"/>
        <v/>
      </c>
      <c r="J29" s="67" t="str">
        <f t="shared" si="2"/>
        <v/>
      </c>
      <c r="K29" s="67" t="str">
        <f t="shared" si="2"/>
        <v/>
      </c>
      <c r="L29" s="67" t="str">
        <f t="shared" si="2"/>
        <v/>
      </c>
      <c r="M29" s="67" t="str">
        <f t="shared" si="2"/>
        <v/>
      </c>
      <c r="N29" s="67" t="str">
        <f t="shared" si="2"/>
        <v/>
      </c>
      <c r="O29" s="67" t="str">
        <f t="shared" si="2"/>
        <v/>
      </c>
      <c r="P29" s="67" t="str">
        <f t="shared" si="2"/>
        <v/>
      </c>
      <c r="Q29" s="67" t="str">
        <f t="shared" si="2"/>
        <v/>
      </c>
      <c r="R29" s="67" t="str">
        <f t="shared" si="2"/>
        <v/>
      </c>
      <c r="S29" s="67" t="str">
        <f t="shared" si="2"/>
        <v/>
      </c>
      <c r="T29" s="67" t="str">
        <f t="shared" si="2"/>
        <v/>
      </c>
      <c r="U29" s="67" t="str">
        <f t="shared" si="2"/>
        <v/>
      </c>
      <c r="V29" s="67" t="str">
        <f t="shared" si="2"/>
        <v/>
      </c>
      <c r="W29" s="67" t="str">
        <f t="shared" si="2"/>
        <v/>
      </c>
      <c r="X29" s="67" t="str">
        <f t="shared" si="5"/>
        <v/>
      </c>
      <c r="Y29" s="67" t="str">
        <f t="shared" si="5"/>
        <v/>
      </c>
      <c r="Z29" s="67" t="str">
        <f t="shared" si="5"/>
        <v>Green Hydrogen</v>
      </c>
      <c r="AA29" s="67" t="str">
        <f t="shared" si="5"/>
        <v>Green Hydrogen</v>
      </c>
      <c r="AB29" s="67" t="str">
        <f t="shared" si="5"/>
        <v>Green Hydrogen</v>
      </c>
      <c r="AC29" s="67" t="str">
        <f t="shared" si="5"/>
        <v/>
      </c>
      <c r="AD29" s="67" t="str">
        <f t="shared" si="5"/>
        <v/>
      </c>
      <c r="AE29" s="67" t="str">
        <f t="shared" si="5"/>
        <v/>
      </c>
      <c r="AF29" s="67" t="str">
        <f t="shared" si="5"/>
        <v/>
      </c>
      <c r="AG29" s="67" t="str">
        <f t="shared" si="5"/>
        <v/>
      </c>
      <c r="AH29" s="67" t="str">
        <f t="shared" si="5"/>
        <v/>
      </c>
      <c r="AI29" s="67" t="str">
        <f t="shared" si="5"/>
        <v/>
      </c>
      <c r="AJ29" s="67" t="str">
        <f t="shared" si="5"/>
        <v/>
      </c>
      <c r="AK29" s="67" t="str">
        <f t="shared" si="5"/>
        <v/>
      </c>
      <c r="AL29" s="67" t="str">
        <f t="shared" si="5"/>
        <v/>
      </c>
      <c r="AM29" s="67" t="str">
        <f t="shared" si="5"/>
        <v/>
      </c>
      <c r="AN29" s="67" t="str">
        <f t="shared" si="3"/>
        <v/>
      </c>
      <c r="AO29" s="67" t="str">
        <f t="shared" si="3"/>
        <v/>
      </c>
      <c r="AP29" s="67" t="str">
        <f t="shared" si="3"/>
        <v/>
      </c>
      <c r="AQ29" s="67" t="str">
        <f t="shared" si="3"/>
        <v/>
      </c>
      <c r="AR29" s="67" t="str">
        <f t="shared" si="3"/>
        <v/>
      </c>
      <c r="AS29" s="67" t="str">
        <f t="shared" si="4"/>
        <v/>
      </c>
      <c r="AT29" s="67" t="str">
        <f t="shared" si="4"/>
        <v/>
      </c>
      <c r="AU29" s="68" t="str">
        <f t="shared" si="4"/>
        <v/>
      </c>
      <c r="AV29" s="69" t="str">
        <f t="shared" si="4"/>
        <v/>
      </c>
      <c r="AW29" s="67" t="str">
        <f t="shared" si="4"/>
        <v/>
      </c>
      <c r="AX29" s="67" t="str">
        <f t="shared" si="4"/>
        <v/>
      </c>
      <c r="AY29" s="67" t="str">
        <f t="shared" si="4"/>
        <v/>
      </c>
      <c r="AZ29" s="67" t="str">
        <f t="shared" si="4"/>
        <v/>
      </c>
      <c r="BA29" s="67" t="str">
        <f t="shared" si="4"/>
        <v/>
      </c>
      <c r="BB29" s="67" t="str">
        <f t="shared" si="4"/>
        <v/>
      </c>
      <c r="BC29" s="67" t="str">
        <f t="shared" si="4"/>
        <v/>
      </c>
    </row>
    <row r="30" spans="1:55" ht="19.95" customHeight="1" x14ac:dyDescent="0.3">
      <c r="A30" s="62" cm="1">
        <f t="array" ref="A30">IFERROR(INDEX(_xlfn._xlws.FILTER(tbl_tasks[Final_Priority],(tbl_tasks[Project_ID]=$A$4)*IF($B$6="All",TRUE,tbl_tasks[Technology]=$B$6)),22),"")</f>
        <v>22</v>
      </c>
      <c r="B30" s="63" t="str" cm="1">
        <f t="array" ref="B30">IFERROR(INDEX(_xlfn._xlws.FILTER(tbl_tasks[Technology],(tbl_tasks[Project_ID]=$A$4)*IF($B$6="All",TRUE,tbl_tasks[Technology]=$B$6)),22),"")</f>
        <v>Green Hydrogen</v>
      </c>
      <c r="C30" s="63" t="str" cm="1">
        <f t="array" ref="C30">IFERROR(INDEX(_xlfn._xlws.FILTER(tbl_tasks[Task_Name],(tbl_tasks[Project_ID]=$A$4)*IF($B$6="All",TRUE,tbl_tasks[Technology]=$B$6)),22),"")</f>
        <v>Storage H2</v>
      </c>
      <c r="D30" s="64" cm="1">
        <f t="array" ref="D30">IFERROR(INDEX(_xlfn._xlws.FILTER(tbl_tasks[Start_Date],(tbl_tasks[Project_ID]=$A$4)*IF($B$6="All",TRUE,tbl_tasks[Technology]=$B$6)),22),"")</f>
        <v>45549</v>
      </c>
      <c r="E30" s="64" cm="1">
        <f t="array" ref="E30">IFERROR(INDEX(_xlfn._xlws.FILTER(tbl_tasks[End_Date],(tbl_tasks[Project_ID]=$A$4)*IF($B$6="All",TRUE,tbl_tasks[Technology]=$B$6)),22),"")</f>
        <v>45599</v>
      </c>
      <c r="F30" s="65" cm="1">
        <f t="array" ref="F30">IFERROR(INDEX(_xlfn._xlws.FILTER(tbl_tasks[Duration],(tbl_tasks[Project_ID]=$A$4)*IF($B$6="All",TRUE,tbl_tasks[Technology]=$B$6)),22),"")</f>
        <v>50</v>
      </c>
      <c r="G30" s="66" t="str" cm="1">
        <f t="array" ref="G30">IFERROR(INDEX(_xlfn._xlws.FILTER(tbl_tasks[Status],(tbl_tasks[Project_ID]=$A$4)*IF($B$6="All",TRUE,tbl_tasks[Technology]=$B$6)),22),"")</f>
        <v>Planned</v>
      </c>
      <c r="H30" s="67" t="str">
        <f t="shared" si="2"/>
        <v/>
      </c>
      <c r="I30" s="67" t="str">
        <f t="shared" si="2"/>
        <v/>
      </c>
      <c r="J30" s="67" t="str">
        <f t="shared" si="2"/>
        <v/>
      </c>
      <c r="K30" s="67" t="str">
        <f t="shared" si="2"/>
        <v/>
      </c>
      <c r="L30" s="67" t="str">
        <f t="shared" si="2"/>
        <v/>
      </c>
      <c r="M30" s="67" t="str">
        <f t="shared" si="2"/>
        <v/>
      </c>
      <c r="N30" s="67" t="str">
        <f t="shared" si="2"/>
        <v/>
      </c>
      <c r="O30" s="67" t="str">
        <f t="shared" si="2"/>
        <v/>
      </c>
      <c r="P30" s="67" t="str">
        <f t="shared" si="2"/>
        <v/>
      </c>
      <c r="Q30" s="67" t="str">
        <f t="shared" si="2"/>
        <v/>
      </c>
      <c r="R30" s="67" t="str">
        <f t="shared" ref="R30:AG44" si="6">IF(AND($D30&lt;=EOMONTH(R$8,0),$E30&gt;=R$8),$B30,"")</f>
        <v/>
      </c>
      <c r="S30" s="67" t="str">
        <f t="shared" si="6"/>
        <v/>
      </c>
      <c r="T30" s="67" t="str">
        <f t="shared" si="6"/>
        <v/>
      </c>
      <c r="U30" s="67" t="str">
        <f t="shared" si="6"/>
        <v/>
      </c>
      <c r="V30" s="67" t="str">
        <f t="shared" si="6"/>
        <v/>
      </c>
      <c r="W30" s="67" t="str">
        <f t="shared" si="6"/>
        <v/>
      </c>
      <c r="X30" s="67" t="str">
        <f t="shared" si="6"/>
        <v/>
      </c>
      <c r="Y30" s="67" t="str">
        <f t="shared" si="6"/>
        <v/>
      </c>
      <c r="Z30" s="67" t="str">
        <f t="shared" si="6"/>
        <v/>
      </c>
      <c r="AA30" s="67" t="str">
        <f t="shared" si="6"/>
        <v/>
      </c>
      <c r="AB30" s="67" t="str">
        <f t="shared" si="6"/>
        <v>Green Hydrogen</v>
      </c>
      <c r="AC30" s="67" t="str">
        <f t="shared" si="6"/>
        <v>Green Hydrogen</v>
      </c>
      <c r="AD30" s="67" t="str">
        <f t="shared" si="6"/>
        <v>Green Hydrogen</v>
      </c>
      <c r="AE30" s="67" t="str">
        <f t="shared" si="6"/>
        <v/>
      </c>
      <c r="AF30" s="67" t="str">
        <f t="shared" si="6"/>
        <v/>
      </c>
      <c r="AG30" s="67" t="str">
        <f t="shared" si="6"/>
        <v/>
      </c>
      <c r="AH30" s="67" t="str">
        <f t="shared" si="5"/>
        <v/>
      </c>
      <c r="AI30" s="67" t="str">
        <f t="shared" si="5"/>
        <v/>
      </c>
      <c r="AJ30" s="67" t="str">
        <f t="shared" si="5"/>
        <v/>
      </c>
      <c r="AK30" s="67" t="str">
        <f t="shared" si="5"/>
        <v/>
      </c>
      <c r="AL30" s="67" t="str">
        <f t="shared" si="5"/>
        <v/>
      </c>
      <c r="AM30" s="67" t="str">
        <f t="shared" si="5"/>
        <v/>
      </c>
      <c r="AN30" s="67" t="str">
        <f t="shared" si="3"/>
        <v/>
      </c>
      <c r="AO30" s="67" t="str">
        <f t="shared" si="3"/>
        <v/>
      </c>
      <c r="AP30" s="67" t="str">
        <f t="shared" si="3"/>
        <v/>
      </c>
      <c r="AQ30" s="67" t="str">
        <f t="shared" si="3"/>
        <v/>
      </c>
      <c r="AR30" s="67" t="str">
        <f t="shared" si="3"/>
        <v/>
      </c>
      <c r="AS30" s="67" t="str">
        <f t="shared" si="4"/>
        <v/>
      </c>
      <c r="AT30" s="67" t="str">
        <f t="shared" si="4"/>
        <v/>
      </c>
      <c r="AU30" s="68" t="str">
        <f t="shared" si="4"/>
        <v/>
      </c>
      <c r="AV30" s="69" t="str">
        <f t="shared" si="4"/>
        <v/>
      </c>
      <c r="AW30" s="67" t="str">
        <f t="shared" si="4"/>
        <v/>
      </c>
      <c r="AX30" s="67" t="str">
        <f t="shared" si="4"/>
        <v/>
      </c>
      <c r="AY30" s="67" t="str">
        <f t="shared" si="4"/>
        <v/>
      </c>
      <c r="AZ30" s="67" t="str">
        <f t="shared" si="4"/>
        <v/>
      </c>
      <c r="BA30" s="67" t="str">
        <f t="shared" si="4"/>
        <v/>
      </c>
      <c r="BB30" s="67" t="str">
        <f t="shared" si="4"/>
        <v/>
      </c>
      <c r="BC30" s="67" t="str">
        <f t="shared" si="4"/>
        <v/>
      </c>
    </row>
    <row r="31" spans="1:55" ht="19.95" customHeight="1" x14ac:dyDescent="0.3">
      <c r="A31" s="62" cm="1">
        <f t="array" ref="A31">IFERROR(INDEX(_xlfn._xlws.FILTER(tbl_tasks[Final_Priority],(tbl_tasks[Project_ID]=$A$4)*IF($B$6="All",TRUE,tbl_tasks[Technology]=$B$6)),23),"")</f>
        <v>23</v>
      </c>
      <c r="B31" s="63" t="str" cm="1">
        <f t="array" ref="B31">IFERROR(INDEX(_xlfn._xlws.FILTER(tbl_tasks[Technology],(tbl_tasks[Project_ID]=$A$4)*IF($B$6="All",TRUE,tbl_tasks[Technology]=$B$6)),23),"")</f>
        <v>Green Hydrogen</v>
      </c>
      <c r="C31" s="63" t="str" cm="1">
        <f t="array" ref="C31">IFERROR(INDEX(_xlfn._xlws.FILTER(tbl_tasks[Task_Name],(tbl_tasks[Project_ID]=$A$4)*IF($B$6="All",TRUE,tbl_tasks[Technology]=$B$6)),23),"")</f>
        <v>Hydrogen compression system</v>
      </c>
      <c r="D31" s="64" cm="1">
        <f t="array" ref="D31">IFERROR(INDEX(_xlfn._xlws.FILTER(tbl_tasks[Start_Date],(tbl_tasks[Project_ID]=$A$4)*IF($B$6="All",TRUE,tbl_tasks[Technology]=$B$6)),23),"")</f>
        <v>45599</v>
      </c>
      <c r="E31" s="64" cm="1">
        <f t="array" ref="E31">IFERROR(INDEX(_xlfn._xlws.FILTER(tbl_tasks[End_Date],(tbl_tasks[Project_ID]=$A$4)*IF($B$6="All",TRUE,tbl_tasks[Technology]=$B$6)),23),"")</f>
        <v>45649</v>
      </c>
      <c r="F31" s="65" cm="1">
        <f t="array" ref="F31">IFERROR(INDEX(_xlfn._xlws.FILTER(tbl_tasks[Duration],(tbl_tasks[Project_ID]=$A$4)*IF($B$6="All",TRUE,tbl_tasks[Technology]=$B$6)),23),"")</f>
        <v>50</v>
      </c>
      <c r="G31" s="66" t="str" cm="1">
        <f t="array" ref="G31">IFERROR(INDEX(_xlfn._xlws.FILTER(tbl_tasks[Status],(tbl_tasks[Project_ID]=$A$4)*IF($B$6="All",TRUE,tbl_tasks[Technology]=$B$6)),23),"")</f>
        <v>Planned</v>
      </c>
      <c r="H31" s="67" t="str">
        <f t="shared" ref="H31:W44" si="7">IF(AND($D31&lt;=EOMONTH(H$8,0),$E31&gt;=H$8),$B31,"")</f>
        <v/>
      </c>
      <c r="I31" s="67" t="str">
        <f t="shared" si="7"/>
        <v/>
      </c>
      <c r="J31" s="67" t="str">
        <f t="shared" si="7"/>
        <v/>
      </c>
      <c r="K31" s="67" t="str">
        <f t="shared" si="7"/>
        <v/>
      </c>
      <c r="L31" s="67" t="str">
        <f t="shared" si="7"/>
        <v/>
      </c>
      <c r="M31" s="67" t="str">
        <f t="shared" si="7"/>
        <v/>
      </c>
      <c r="N31" s="67" t="str">
        <f t="shared" si="7"/>
        <v/>
      </c>
      <c r="O31" s="67" t="str">
        <f t="shared" si="7"/>
        <v/>
      </c>
      <c r="P31" s="67" t="str">
        <f t="shared" si="7"/>
        <v/>
      </c>
      <c r="Q31" s="67" t="str">
        <f t="shared" si="7"/>
        <v/>
      </c>
      <c r="R31" s="67" t="str">
        <f t="shared" si="7"/>
        <v/>
      </c>
      <c r="S31" s="67" t="str">
        <f t="shared" si="7"/>
        <v/>
      </c>
      <c r="T31" s="67" t="str">
        <f t="shared" si="7"/>
        <v/>
      </c>
      <c r="U31" s="67" t="str">
        <f t="shared" si="7"/>
        <v/>
      </c>
      <c r="V31" s="67" t="str">
        <f t="shared" si="7"/>
        <v/>
      </c>
      <c r="W31" s="67" t="str">
        <f t="shared" si="7"/>
        <v/>
      </c>
      <c r="X31" s="67" t="str">
        <f t="shared" si="6"/>
        <v/>
      </c>
      <c r="Y31" s="67" t="str">
        <f t="shared" si="6"/>
        <v/>
      </c>
      <c r="Z31" s="67" t="str">
        <f t="shared" si="6"/>
        <v/>
      </c>
      <c r="AA31" s="67" t="str">
        <f t="shared" si="6"/>
        <v/>
      </c>
      <c r="AB31" s="67" t="str">
        <f t="shared" si="6"/>
        <v/>
      </c>
      <c r="AC31" s="67" t="str">
        <f t="shared" si="6"/>
        <v/>
      </c>
      <c r="AD31" s="67" t="str">
        <f t="shared" si="6"/>
        <v>Green Hydrogen</v>
      </c>
      <c r="AE31" s="67" t="str">
        <f t="shared" si="6"/>
        <v>Green Hydrogen</v>
      </c>
      <c r="AF31" s="67" t="str">
        <f t="shared" si="6"/>
        <v/>
      </c>
      <c r="AG31" s="67" t="str">
        <f t="shared" si="6"/>
        <v/>
      </c>
      <c r="AH31" s="67" t="str">
        <f t="shared" si="5"/>
        <v/>
      </c>
      <c r="AI31" s="67" t="str">
        <f t="shared" si="5"/>
        <v/>
      </c>
      <c r="AJ31" s="67" t="str">
        <f t="shared" si="5"/>
        <v/>
      </c>
      <c r="AK31" s="67" t="str">
        <f t="shared" si="5"/>
        <v/>
      </c>
      <c r="AL31" s="67" t="str">
        <f t="shared" si="5"/>
        <v/>
      </c>
      <c r="AM31" s="67" t="str">
        <f t="shared" si="5"/>
        <v/>
      </c>
      <c r="AN31" s="67" t="str">
        <f t="shared" si="3"/>
        <v/>
      </c>
      <c r="AO31" s="67" t="str">
        <f t="shared" si="3"/>
        <v/>
      </c>
      <c r="AP31" s="67" t="str">
        <f t="shared" si="3"/>
        <v/>
      </c>
      <c r="AQ31" s="67" t="str">
        <f t="shared" si="3"/>
        <v/>
      </c>
      <c r="AR31" s="67" t="str">
        <f t="shared" si="3"/>
        <v/>
      </c>
      <c r="AS31" s="67" t="str">
        <f t="shared" si="4"/>
        <v/>
      </c>
      <c r="AT31" s="67" t="str">
        <f t="shared" si="4"/>
        <v/>
      </c>
      <c r="AU31" s="68" t="str">
        <f t="shared" si="4"/>
        <v/>
      </c>
      <c r="AV31" s="69" t="str">
        <f t="shared" si="4"/>
        <v/>
      </c>
      <c r="AW31" s="67" t="str">
        <f t="shared" si="4"/>
        <v/>
      </c>
      <c r="AX31" s="67" t="str">
        <f t="shared" si="4"/>
        <v/>
      </c>
      <c r="AY31" s="67" t="str">
        <f t="shared" si="4"/>
        <v/>
      </c>
      <c r="AZ31" s="67" t="str">
        <f t="shared" si="4"/>
        <v/>
      </c>
      <c r="BA31" s="67" t="str">
        <f t="shared" si="4"/>
        <v/>
      </c>
      <c r="BB31" s="67" t="str">
        <f t="shared" si="4"/>
        <v/>
      </c>
      <c r="BC31" s="67" t="str">
        <f t="shared" si="4"/>
        <v/>
      </c>
    </row>
    <row r="32" spans="1:55" ht="19.95" customHeight="1" x14ac:dyDescent="0.3">
      <c r="A32" s="62" cm="1">
        <f t="array" ref="A32">IFERROR(INDEX(_xlfn._xlws.FILTER(tbl_tasks[Final_Priority],(tbl_tasks[Project_ID]=$A$4)*IF($B$6="All",TRUE,tbl_tasks[Technology]=$B$6)),24),"")</f>
        <v>24</v>
      </c>
      <c r="B32" s="63" t="str" cm="1">
        <f t="array" ref="B32">IFERROR(INDEX(_xlfn._xlws.FILTER(tbl_tasks[Technology],(tbl_tasks[Project_ID]=$A$4)*IF($B$6="All",TRUE,tbl_tasks[Technology]=$B$6)),24),"")</f>
        <v>Green Hydrogen</v>
      </c>
      <c r="C32" s="63" t="str" cm="1">
        <f t="array" ref="C32">IFERROR(INDEX(_xlfn._xlws.FILTER(tbl_tasks[Task_Name],(tbl_tasks[Project_ID]=$A$4)*IF($B$6="All",TRUE,tbl_tasks[Technology]=$B$6)),24),"")</f>
        <v>Piping &amp; connections</v>
      </c>
      <c r="D32" s="64" cm="1">
        <f t="array" ref="D32">IFERROR(INDEX(_xlfn._xlws.FILTER(tbl_tasks[Start_Date],(tbl_tasks[Project_ID]=$A$4)*IF($B$6="All",TRUE,tbl_tasks[Technology]=$B$6)),24),"")</f>
        <v>45649</v>
      </c>
      <c r="E32" s="64" cm="1">
        <f t="array" ref="E32">IFERROR(INDEX(_xlfn._xlws.FILTER(tbl_tasks[End_Date],(tbl_tasks[Project_ID]=$A$4)*IF($B$6="All",TRUE,tbl_tasks[Technology]=$B$6)),24),"")</f>
        <v>45699</v>
      </c>
      <c r="F32" s="65" cm="1">
        <f t="array" ref="F32">IFERROR(INDEX(_xlfn._xlws.FILTER(tbl_tasks[Duration],(tbl_tasks[Project_ID]=$A$4)*IF($B$6="All",TRUE,tbl_tasks[Technology]=$B$6)),24),"")</f>
        <v>50</v>
      </c>
      <c r="G32" s="66" t="str" cm="1">
        <f t="array" ref="G32">IFERROR(INDEX(_xlfn._xlws.FILTER(tbl_tasks[Status],(tbl_tasks[Project_ID]=$A$4)*IF($B$6="All",TRUE,tbl_tasks[Technology]=$B$6)),24),"")</f>
        <v>Planned</v>
      </c>
      <c r="H32" s="67" t="str">
        <f t="shared" si="7"/>
        <v/>
      </c>
      <c r="I32" s="67" t="str">
        <f t="shared" si="7"/>
        <v/>
      </c>
      <c r="J32" s="67" t="str">
        <f t="shared" si="7"/>
        <v/>
      </c>
      <c r="K32" s="67" t="str">
        <f t="shared" si="7"/>
        <v/>
      </c>
      <c r="L32" s="67" t="str">
        <f t="shared" si="7"/>
        <v/>
      </c>
      <c r="M32" s="67" t="str">
        <f t="shared" si="7"/>
        <v/>
      </c>
      <c r="N32" s="67" t="str">
        <f t="shared" si="7"/>
        <v/>
      </c>
      <c r="O32" s="67" t="str">
        <f t="shared" si="7"/>
        <v/>
      </c>
      <c r="P32" s="67" t="str">
        <f t="shared" si="7"/>
        <v/>
      </c>
      <c r="Q32" s="67" t="str">
        <f t="shared" si="7"/>
        <v/>
      </c>
      <c r="R32" s="67" t="str">
        <f t="shared" si="7"/>
        <v/>
      </c>
      <c r="S32" s="67" t="str">
        <f t="shared" si="7"/>
        <v/>
      </c>
      <c r="T32" s="67" t="str">
        <f t="shared" si="7"/>
        <v/>
      </c>
      <c r="U32" s="67" t="str">
        <f t="shared" si="7"/>
        <v/>
      </c>
      <c r="V32" s="67" t="str">
        <f t="shared" si="7"/>
        <v/>
      </c>
      <c r="W32" s="67" t="str">
        <f t="shared" si="7"/>
        <v/>
      </c>
      <c r="X32" s="67" t="str">
        <f t="shared" si="6"/>
        <v/>
      </c>
      <c r="Y32" s="67" t="str">
        <f t="shared" si="6"/>
        <v/>
      </c>
      <c r="Z32" s="67" t="str">
        <f t="shared" si="6"/>
        <v/>
      </c>
      <c r="AA32" s="67" t="str">
        <f t="shared" si="6"/>
        <v/>
      </c>
      <c r="AB32" s="67" t="str">
        <f t="shared" si="6"/>
        <v/>
      </c>
      <c r="AC32" s="67" t="str">
        <f t="shared" si="6"/>
        <v/>
      </c>
      <c r="AD32" s="67" t="str">
        <f t="shared" si="6"/>
        <v/>
      </c>
      <c r="AE32" s="67" t="str">
        <f t="shared" si="6"/>
        <v>Green Hydrogen</v>
      </c>
      <c r="AF32" s="67" t="str">
        <f t="shared" si="6"/>
        <v>Green Hydrogen</v>
      </c>
      <c r="AG32" s="67" t="str">
        <f t="shared" si="6"/>
        <v>Green Hydrogen</v>
      </c>
      <c r="AH32" s="67" t="str">
        <f t="shared" si="5"/>
        <v/>
      </c>
      <c r="AI32" s="67" t="str">
        <f t="shared" si="5"/>
        <v/>
      </c>
      <c r="AJ32" s="67" t="str">
        <f t="shared" si="5"/>
        <v/>
      </c>
      <c r="AK32" s="67" t="str">
        <f t="shared" ref="AK32:AZ44" si="8">IF(AND($D32&lt;=EOMONTH(AK$8,0),$E32&gt;=AK$8),$B32,"")</f>
        <v/>
      </c>
      <c r="AL32" s="67" t="str">
        <f t="shared" si="8"/>
        <v/>
      </c>
      <c r="AM32" s="67" t="str">
        <f t="shared" si="8"/>
        <v/>
      </c>
      <c r="AN32" s="67" t="str">
        <f t="shared" si="8"/>
        <v/>
      </c>
      <c r="AO32" s="67" t="str">
        <f t="shared" si="8"/>
        <v/>
      </c>
      <c r="AP32" s="67" t="str">
        <f t="shared" si="8"/>
        <v/>
      </c>
      <c r="AQ32" s="67" t="str">
        <f t="shared" si="8"/>
        <v/>
      </c>
      <c r="AR32" s="67" t="str">
        <f t="shared" si="8"/>
        <v/>
      </c>
      <c r="AS32" s="67" t="str">
        <f t="shared" si="8"/>
        <v/>
      </c>
      <c r="AT32" s="67" t="str">
        <f t="shared" si="8"/>
        <v/>
      </c>
      <c r="AU32" s="68" t="str">
        <f t="shared" si="8"/>
        <v/>
      </c>
      <c r="AV32" s="69" t="str">
        <f t="shared" si="8"/>
        <v/>
      </c>
      <c r="AW32" s="67" t="str">
        <f t="shared" si="8"/>
        <v/>
      </c>
      <c r="AX32" s="67" t="str">
        <f t="shared" si="8"/>
        <v/>
      </c>
      <c r="AY32" s="67" t="str">
        <f t="shared" si="8"/>
        <v/>
      </c>
      <c r="AZ32" s="67" t="str">
        <f t="shared" si="8"/>
        <v/>
      </c>
      <c r="BA32" s="67" t="str">
        <f t="shared" si="4"/>
        <v/>
      </c>
      <c r="BB32" s="67" t="str">
        <f t="shared" si="4"/>
        <v/>
      </c>
      <c r="BC32" s="67" t="str">
        <f t="shared" si="4"/>
        <v/>
      </c>
    </row>
    <row r="33" spans="1:55" ht="19.95" customHeight="1" x14ac:dyDescent="0.3">
      <c r="A33" s="62" cm="1">
        <f t="array" ref="A33">IFERROR(INDEX(_xlfn._xlws.FILTER(tbl_tasks[Final_Priority],(tbl_tasks[Project_ID]=$A$4)*IF($B$6="All",TRUE,tbl_tasks[Technology]=$B$6)),25),"")</f>
        <v>25</v>
      </c>
      <c r="B33" s="63" t="str" cm="1">
        <f t="array" ref="B33">IFERROR(INDEX(_xlfn._xlws.FILTER(tbl_tasks[Technology],(tbl_tasks[Project_ID]=$A$4)*IF($B$6="All",TRUE,tbl_tasks[Technology]=$B$6)),25),"")</f>
        <v>Green Hydrogen</v>
      </c>
      <c r="C33" s="63" t="str" cm="1">
        <f t="array" ref="C33">IFERROR(INDEX(_xlfn._xlws.FILTER(tbl_tasks[Task_Name],(tbl_tasks[Project_ID]=$A$4)*IF($B$6="All",TRUE,tbl_tasks[Technology]=$B$6)),25),"")</f>
        <v>Electrolyzer testing &amp; commissioning</v>
      </c>
      <c r="D33" s="64" cm="1">
        <f t="array" ref="D33">IFERROR(INDEX(_xlfn._xlws.FILTER(tbl_tasks[Start_Date],(tbl_tasks[Project_ID]=$A$4)*IF($B$6="All",TRUE,tbl_tasks[Technology]=$B$6)),25),"")</f>
        <v>45699</v>
      </c>
      <c r="E33" s="64" cm="1">
        <f t="array" ref="E33">IFERROR(INDEX(_xlfn._xlws.FILTER(tbl_tasks[End_Date],(tbl_tasks[Project_ID]=$A$4)*IF($B$6="All",TRUE,tbl_tasks[Technology]=$B$6)),25),"")</f>
        <v>45750</v>
      </c>
      <c r="F33" s="65" cm="1">
        <f t="array" ref="F33">IFERROR(INDEX(_xlfn._xlws.FILTER(tbl_tasks[Duration],(tbl_tasks[Project_ID]=$A$4)*IF($B$6="All",TRUE,tbl_tasks[Technology]=$B$6)),25),"")</f>
        <v>51</v>
      </c>
      <c r="G33" s="66" t="str" cm="1">
        <f t="array" ref="G33">IFERROR(INDEX(_xlfn._xlws.FILTER(tbl_tasks[Status],(tbl_tasks[Project_ID]=$A$4)*IF($B$6="All",TRUE,tbl_tasks[Technology]=$B$6)),25),"")</f>
        <v>Planned</v>
      </c>
      <c r="H33" s="67" t="str">
        <f t="shared" si="7"/>
        <v/>
      </c>
      <c r="I33" s="67" t="str">
        <f t="shared" si="7"/>
        <v/>
      </c>
      <c r="J33" s="67" t="str">
        <f t="shared" si="7"/>
        <v/>
      </c>
      <c r="K33" s="67" t="str">
        <f t="shared" si="7"/>
        <v/>
      </c>
      <c r="L33" s="67" t="str">
        <f t="shared" si="7"/>
        <v/>
      </c>
      <c r="M33" s="67" t="str">
        <f t="shared" si="7"/>
        <v/>
      </c>
      <c r="N33" s="67" t="str">
        <f t="shared" si="7"/>
        <v/>
      </c>
      <c r="O33" s="67" t="str">
        <f t="shared" si="7"/>
        <v/>
      </c>
      <c r="P33" s="67" t="str">
        <f t="shared" si="7"/>
        <v/>
      </c>
      <c r="Q33" s="67" t="str">
        <f t="shared" si="7"/>
        <v/>
      </c>
      <c r="R33" s="67" t="str">
        <f t="shared" si="7"/>
        <v/>
      </c>
      <c r="S33" s="67" t="str">
        <f t="shared" si="7"/>
        <v/>
      </c>
      <c r="T33" s="67" t="str">
        <f t="shared" si="7"/>
        <v/>
      </c>
      <c r="U33" s="67" t="str">
        <f t="shared" si="7"/>
        <v/>
      </c>
      <c r="V33" s="67" t="str">
        <f t="shared" si="7"/>
        <v/>
      </c>
      <c r="W33" s="67" t="str">
        <f t="shared" si="7"/>
        <v/>
      </c>
      <c r="X33" s="67" t="str">
        <f t="shared" si="6"/>
        <v/>
      </c>
      <c r="Y33" s="67" t="str">
        <f t="shared" si="6"/>
        <v/>
      </c>
      <c r="Z33" s="67" t="str">
        <f t="shared" si="6"/>
        <v/>
      </c>
      <c r="AA33" s="67" t="str">
        <f t="shared" si="6"/>
        <v/>
      </c>
      <c r="AB33" s="67" t="str">
        <f t="shared" si="6"/>
        <v/>
      </c>
      <c r="AC33" s="67" t="str">
        <f t="shared" si="6"/>
        <v/>
      </c>
      <c r="AD33" s="67" t="str">
        <f t="shared" si="6"/>
        <v/>
      </c>
      <c r="AE33" s="67" t="str">
        <f t="shared" si="6"/>
        <v/>
      </c>
      <c r="AF33" s="67" t="str">
        <f t="shared" si="6"/>
        <v/>
      </c>
      <c r="AG33" s="67" t="str">
        <f t="shared" si="6"/>
        <v>Green Hydrogen</v>
      </c>
      <c r="AH33" s="67" t="str">
        <f t="shared" ref="AH33:AW44" si="9">IF(AND($D33&lt;=EOMONTH(AH$8,0),$E33&gt;=AH$8),$B33,"")</f>
        <v>Green Hydrogen</v>
      </c>
      <c r="AI33" s="67" t="str">
        <f t="shared" si="9"/>
        <v>Green Hydrogen</v>
      </c>
      <c r="AJ33" s="67" t="str">
        <f t="shared" si="9"/>
        <v/>
      </c>
      <c r="AK33" s="67" t="str">
        <f t="shared" si="9"/>
        <v/>
      </c>
      <c r="AL33" s="67" t="str">
        <f t="shared" si="9"/>
        <v/>
      </c>
      <c r="AM33" s="67" t="str">
        <f t="shared" si="9"/>
        <v/>
      </c>
      <c r="AN33" s="67" t="str">
        <f t="shared" si="9"/>
        <v/>
      </c>
      <c r="AO33" s="67" t="str">
        <f t="shared" si="9"/>
        <v/>
      </c>
      <c r="AP33" s="67" t="str">
        <f t="shared" si="9"/>
        <v/>
      </c>
      <c r="AQ33" s="67" t="str">
        <f t="shared" si="9"/>
        <v/>
      </c>
      <c r="AR33" s="67" t="str">
        <f t="shared" si="9"/>
        <v/>
      </c>
      <c r="AS33" s="67" t="str">
        <f t="shared" si="9"/>
        <v/>
      </c>
      <c r="AT33" s="67" t="str">
        <f t="shared" si="9"/>
        <v/>
      </c>
      <c r="AU33" s="68" t="str">
        <f t="shared" si="9"/>
        <v/>
      </c>
      <c r="AV33" s="69" t="str">
        <f t="shared" si="9"/>
        <v/>
      </c>
      <c r="AW33" s="67" t="str">
        <f t="shared" si="9"/>
        <v/>
      </c>
      <c r="AX33" s="67" t="str">
        <f t="shared" si="8"/>
        <v/>
      </c>
      <c r="AY33" s="67" t="str">
        <f t="shared" si="8"/>
        <v/>
      </c>
      <c r="AZ33" s="67" t="str">
        <f t="shared" si="8"/>
        <v/>
      </c>
      <c r="BA33" s="67" t="str">
        <f t="shared" si="4"/>
        <v/>
      </c>
      <c r="BB33" s="67" t="str">
        <f t="shared" si="4"/>
        <v/>
      </c>
      <c r="BC33" s="67" t="str">
        <f t="shared" si="4"/>
        <v/>
      </c>
    </row>
    <row r="34" spans="1:55" ht="19.95" customHeight="1" x14ac:dyDescent="0.3">
      <c r="A34" s="62" cm="1">
        <f t="array" ref="A34">IFERROR(INDEX(_xlfn._xlws.FILTER(tbl_tasks[Final_Priority],(tbl_tasks[Project_ID]=$A$4)*IF($B$6="All",TRUE,tbl_tasks[Technology]=$B$6)),26),"")</f>
        <v>26</v>
      </c>
      <c r="B34" s="63" t="str" cm="1">
        <f t="array" ref="B34">IFERROR(INDEX(_xlfn._xlws.FILTER(tbl_tasks[Technology],(tbl_tasks[Project_ID]=$A$4)*IF($B$6="All",TRUE,tbl_tasks[Technology]=$B$6)),26),"")</f>
        <v>Storage</v>
      </c>
      <c r="C34" s="63" t="str" cm="1">
        <f t="array" ref="C34">IFERROR(INDEX(_xlfn._xlws.FILTER(tbl_tasks[Task_Name],(tbl_tasks[Project_ID]=$A$4)*IF($B$6="All",TRUE,tbl_tasks[Technology]=$B$6)),26),"")</f>
        <v>Battery system installation</v>
      </c>
      <c r="D34" s="64" cm="1">
        <f t="array" ref="D34">IFERROR(INDEX(_xlfn._xlws.FILTER(tbl_tasks[Start_Date],(tbl_tasks[Project_ID]=$A$4)*IF($B$6="All",TRUE,tbl_tasks[Technology]=$B$6)),26),"")</f>
        <v>45499</v>
      </c>
      <c r="E34" s="64" cm="1">
        <f t="array" ref="E34">IFERROR(INDEX(_xlfn._xlws.FILTER(tbl_tasks[End_Date],(tbl_tasks[Project_ID]=$A$4)*IF($B$6="All",TRUE,tbl_tasks[Technology]=$B$6)),26),"")</f>
        <v>45561</v>
      </c>
      <c r="F34" s="65" cm="1">
        <f t="array" ref="F34">IFERROR(INDEX(_xlfn._xlws.FILTER(tbl_tasks[Duration],(tbl_tasks[Project_ID]=$A$4)*IF($B$6="All",TRUE,tbl_tasks[Technology]=$B$6)),26),"")</f>
        <v>62</v>
      </c>
      <c r="G34" s="66" t="str" cm="1">
        <f t="array" ref="G34">IFERROR(INDEX(_xlfn._xlws.FILTER(tbl_tasks[Status],(tbl_tasks[Project_ID]=$A$4)*IF($B$6="All",TRUE,tbl_tasks[Technology]=$B$6)),26),"")</f>
        <v>Planned</v>
      </c>
      <c r="H34" s="67" t="str">
        <f t="shared" si="7"/>
        <v/>
      </c>
      <c r="I34" s="67" t="str">
        <f t="shared" si="7"/>
        <v/>
      </c>
      <c r="J34" s="67" t="str">
        <f t="shared" si="7"/>
        <v/>
      </c>
      <c r="K34" s="67" t="str">
        <f t="shared" si="7"/>
        <v/>
      </c>
      <c r="L34" s="67" t="str">
        <f t="shared" si="7"/>
        <v/>
      </c>
      <c r="M34" s="67" t="str">
        <f t="shared" si="7"/>
        <v/>
      </c>
      <c r="N34" s="67" t="str">
        <f t="shared" si="7"/>
        <v/>
      </c>
      <c r="O34" s="67" t="str">
        <f t="shared" si="7"/>
        <v/>
      </c>
      <c r="P34" s="67" t="str">
        <f t="shared" si="7"/>
        <v/>
      </c>
      <c r="Q34" s="67" t="str">
        <f t="shared" si="7"/>
        <v/>
      </c>
      <c r="R34" s="67" t="str">
        <f t="shared" si="7"/>
        <v/>
      </c>
      <c r="S34" s="67" t="str">
        <f t="shared" si="7"/>
        <v/>
      </c>
      <c r="T34" s="67" t="str">
        <f t="shared" si="7"/>
        <v/>
      </c>
      <c r="U34" s="67" t="str">
        <f t="shared" si="7"/>
        <v/>
      </c>
      <c r="V34" s="67" t="str">
        <f t="shared" si="7"/>
        <v/>
      </c>
      <c r="W34" s="67" t="str">
        <f t="shared" si="7"/>
        <v/>
      </c>
      <c r="X34" s="67" t="str">
        <f t="shared" si="6"/>
        <v/>
      </c>
      <c r="Y34" s="67" t="str">
        <f t="shared" si="6"/>
        <v/>
      </c>
      <c r="Z34" s="67" t="str">
        <f t="shared" si="6"/>
        <v>Storage</v>
      </c>
      <c r="AA34" s="67" t="str">
        <f t="shared" si="6"/>
        <v>Storage</v>
      </c>
      <c r="AB34" s="67" t="str">
        <f t="shared" si="6"/>
        <v>Storage</v>
      </c>
      <c r="AC34" s="67" t="str">
        <f t="shared" si="6"/>
        <v/>
      </c>
      <c r="AD34" s="67" t="str">
        <f t="shared" si="6"/>
        <v/>
      </c>
      <c r="AE34" s="67" t="str">
        <f t="shared" si="6"/>
        <v/>
      </c>
      <c r="AF34" s="67" t="str">
        <f t="shared" si="6"/>
        <v/>
      </c>
      <c r="AG34" s="67" t="str">
        <f t="shared" si="6"/>
        <v/>
      </c>
      <c r="AH34" s="67" t="str">
        <f t="shared" si="9"/>
        <v/>
      </c>
      <c r="AI34" s="67" t="str">
        <f t="shared" si="9"/>
        <v/>
      </c>
      <c r="AJ34" s="67" t="str">
        <f t="shared" si="9"/>
        <v/>
      </c>
      <c r="AK34" s="67" t="str">
        <f t="shared" si="9"/>
        <v/>
      </c>
      <c r="AL34" s="67" t="str">
        <f t="shared" si="9"/>
        <v/>
      </c>
      <c r="AM34" s="67" t="str">
        <f t="shared" si="9"/>
        <v/>
      </c>
      <c r="AN34" s="67" t="str">
        <f t="shared" si="9"/>
        <v/>
      </c>
      <c r="AO34" s="67" t="str">
        <f t="shared" si="9"/>
        <v/>
      </c>
      <c r="AP34" s="67" t="str">
        <f t="shared" si="9"/>
        <v/>
      </c>
      <c r="AQ34" s="67" t="str">
        <f t="shared" si="9"/>
        <v/>
      </c>
      <c r="AR34" s="67" t="str">
        <f t="shared" si="9"/>
        <v/>
      </c>
      <c r="AS34" s="67" t="str">
        <f t="shared" si="9"/>
        <v/>
      </c>
      <c r="AT34" s="67" t="str">
        <f t="shared" si="9"/>
        <v/>
      </c>
      <c r="AU34" s="68" t="str">
        <f t="shared" si="9"/>
        <v/>
      </c>
      <c r="AV34" s="69" t="str">
        <f t="shared" si="9"/>
        <v/>
      </c>
      <c r="AW34" s="67" t="str">
        <f t="shared" si="9"/>
        <v/>
      </c>
      <c r="AX34" s="67" t="str">
        <f t="shared" si="8"/>
        <v/>
      </c>
      <c r="AY34" s="67" t="str">
        <f t="shared" si="8"/>
        <v/>
      </c>
      <c r="AZ34" s="67" t="str">
        <f t="shared" si="8"/>
        <v/>
      </c>
      <c r="BA34" s="67" t="str">
        <f t="shared" si="4"/>
        <v/>
      </c>
      <c r="BB34" s="67" t="str">
        <f t="shared" si="4"/>
        <v/>
      </c>
      <c r="BC34" s="67" t="str">
        <f t="shared" si="4"/>
        <v/>
      </c>
    </row>
    <row r="35" spans="1:55" ht="19.95" customHeight="1" x14ac:dyDescent="0.3">
      <c r="A35" s="62" cm="1">
        <f t="array" ref="A35">IFERROR(INDEX(_xlfn._xlws.FILTER(tbl_tasks[Final_Priority],(tbl_tasks[Project_ID]=$A$4)*IF($B$6="All",TRUE,tbl_tasks[Technology]=$B$6)),27),"")</f>
        <v>27</v>
      </c>
      <c r="B35" s="63" t="str" cm="1">
        <f t="array" ref="B35">IFERROR(INDEX(_xlfn._xlws.FILTER(tbl_tasks[Technology],(tbl_tasks[Project_ID]=$A$4)*IF($B$6="All",TRUE,tbl_tasks[Technology]=$B$6)),27),"")</f>
        <v>Storage</v>
      </c>
      <c r="C35" s="63" t="str" cm="1">
        <f t="array" ref="C35">IFERROR(INDEX(_xlfn._xlws.FILTER(tbl_tasks[Task_Name],(tbl_tasks[Project_ID]=$A$4)*IF($B$6="All",TRUE,tbl_tasks[Technology]=$B$6)),27),"")</f>
        <v>Inverter &amp; control system</v>
      </c>
      <c r="D35" s="64" cm="1">
        <f t="array" ref="D35">IFERROR(INDEX(_xlfn._xlws.FILTER(tbl_tasks[Start_Date],(tbl_tasks[Project_ID]=$A$4)*IF($B$6="All",TRUE,tbl_tasks[Technology]=$B$6)),27),"")</f>
        <v>45561</v>
      </c>
      <c r="E35" s="64" cm="1">
        <f t="array" ref="E35">IFERROR(INDEX(_xlfn._xlws.FILTER(tbl_tasks[End_Date],(tbl_tasks[Project_ID]=$A$4)*IF($B$6="All",TRUE,tbl_tasks[Technology]=$B$6)),27),"")</f>
        <v>45623</v>
      </c>
      <c r="F35" s="65" cm="1">
        <f t="array" ref="F35">IFERROR(INDEX(_xlfn._xlws.FILTER(tbl_tasks[Duration],(tbl_tasks[Project_ID]=$A$4)*IF($B$6="All",TRUE,tbl_tasks[Technology]=$B$6)),27),"")</f>
        <v>62</v>
      </c>
      <c r="G35" s="66" t="str" cm="1">
        <f t="array" ref="G35">IFERROR(INDEX(_xlfn._xlws.FILTER(tbl_tasks[Status],(tbl_tasks[Project_ID]=$A$4)*IF($B$6="All",TRUE,tbl_tasks[Technology]=$B$6)),27),"")</f>
        <v>Planned</v>
      </c>
      <c r="H35" s="67" t="str">
        <f t="shared" si="7"/>
        <v/>
      </c>
      <c r="I35" s="67" t="str">
        <f t="shared" si="7"/>
        <v/>
      </c>
      <c r="J35" s="67" t="str">
        <f t="shared" si="7"/>
        <v/>
      </c>
      <c r="K35" s="67" t="str">
        <f t="shared" si="7"/>
        <v/>
      </c>
      <c r="L35" s="67" t="str">
        <f t="shared" si="7"/>
        <v/>
      </c>
      <c r="M35" s="67" t="str">
        <f t="shared" si="7"/>
        <v/>
      </c>
      <c r="N35" s="67" t="str">
        <f t="shared" si="7"/>
        <v/>
      </c>
      <c r="O35" s="67" t="str">
        <f t="shared" si="7"/>
        <v/>
      </c>
      <c r="P35" s="67" t="str">
        <f t="shared" si="7"/>
        <v/>
      </c>
      <c r="Q35" s="67" t="str">
        <f t="shared" si="7"/>
        <v/>
      </c>
      <c r="R35" s="67" t="str">
        <f t="shared" si="7"/>
        <v/>
      </c>
      <c r="S35" s="67" t="str">
        <f t="shared" si="7"/>
        <v/>
      </c>
      <c r="T35" s="67" t="str">
        <f t="shared" si="7"/>
        <v/>
      </c>
      <c r="U35" s="67" t="str">
        <f t="shared" si="7"/>
        <v/>
      </c>
      <c r="V35" s="67" t="str">
        <f t="shared" si="7"/>
        <v/>
      </c>
      <c r="W35" s="67" t="str">
        <f t="shared" si="7"/>
        <v/>
      </c>
      <c r="X35" s="67" t="str">
        <f t="shared" si="6"/>
        <v/>
      </c>
      <c r="Y35" s="67" t="str">
        <f t="shared" si="6"/>
        <v/>
      </c>
      <c r="Z35" s="67" t="str">
        <f t="shared" si="6"/>
        <v/>
      </c>
      <c r="AA35" s="67" t="str">
        <f t="shared" si="6"/>
        <v/>
      </c>
      <c r="AB35" s="67" t="str">
        <f t="shared" si="6"/>
        <v>Storage</v>
      </c>
      <c r="AC35" s="67" t="str">
        <f t="shared" si="6"/>
        <v>Storage</v>
      </c>
      <c r="AD35" s="67" t="str">
        <f t="shared" si="6"/>
        <v>Storage</v>
      </c>
      <c r="AE35" s="67" t="str">
        <f t="shared" si="6"/>
        <v/>
      </c>
      <c r="AF35" s="67" t="str">
        <f t="shared" si="6"/>
        <v/>
      </c>
      <c r="AG35" s="67" t="str">
        <f t="shared" si="6"/>
        <v/>
      </c>
      <c r="AH35" s="67" t="str">
        <f t="shared" si="9"/>
        <v/>
      </c>
      <c r="AI35" s="67" t="str">
        <f t="shared" si="9"/>
        <v/>
      </c>
      <c r="AJ35" s="67" t="str">
        <f t="shared" si="9"/>
        <v/>
      </c>
      <c r="AK35" s="67" t="str">
        <f t="shared" si="9"/>
        <v/>
      </c>
      <c r="AL35" s="67" t="str">
        <f t="shared" si="9"/>
        <v/>
      </c>
      <c r="AM35" s="67" t="str">
        <f t="shared" si="9"/>
        <v/>
      </c>
      <c r="AN35" s="67" t="str">
        <f t="shared" si="9"/>
        <v/>
      </c>
      <c r="AO35" s="67" t="str">
        <f t="shared" si="9"/>
        <v/>
      </c>
      <c r="AP35" s="67" t="str">
        <f t="shared" si="9"/>
        <v/>
      </c>
      <c r="AQ35" s="67" t="str">
        <f t="shared" si="9"/>
        <v/>
      </c>
      <c r="AR35" s="67" t="str">
        <f t="shared" si="9"/>
        <v/>
      </c>
      <c r="AS35" s="67" t="str">
        <f t="shared" si="9"/>
        <v/>
      </c>
      <c r="AT35" s="67" t="str">
        <f t="shared" si="9"/>
        <v/>
      </c>
      <c r="AU35" s="68" t="str">
        <f t="shared" si="9"/>
        <v/>
      </c>
      <c r="AV35" s="69" t="str">
        <f t="shared" si="9"/>
        <v/>
      </c>
      <c r="AW35" s="67" t="str">
        <f t="shared" si="9"/>
        <v/>
      </c>
      <c r="AX35" s="67" t="str">
        <f t="shared" si="8"/>
        <v/>
      </c>
      <c r="AY35" s="67" t="str">
        <f t="shared" si="8"/>
        <v/>
      </c>
      <c r="AZ35" s="67" t="str">
        <f t="shared" si="8"/>
        <v/>
      </c>
      <c r="BA35" s="67" t="str">
        <f t="shared" si="4"/>
        <v/>
      </c>
      <c r="BB35" s="67" t="str">
        <f t="shared" si="4"/>
        <v/>
      </c>
      <c r="BC35" s="67" t="str">
        <f t="shared" si="4"/>
        <v/>
      </c>
    </row>
    <row r="36" spans="1:55" ht="19.95" customHeight="1" x14ac:dyDescent="0.3">
      <c r="A36" s="62" cm="1">
        <f t="array" ref="A36">IFERROR(INDEX(_xlfn._xlws.FILTER(tbl_tasks[Final_Priority],(tbl_tasks[Project_ID]=$A$4)*IF($B$6="All",TRUE,tbl_tasks[Technology]=$B$6)),28),"")</f>
        <v>28</v>
      </c>
      <c r="B36" s="63" t="str" cm="1">
        <f t="array" ref="B36">IFERROR(INDEX(_xlfn._xlws.FILTER(tbl_tasks[Technology],(tbl_tasks[Project_ID]=$A$4)*IF($B$6="All",TRUE,tbl_tasks[Technology]=$B$6)),28),"")</f>
        <v>Storage</v>
      </c>
      <c r="C36" s="63" t="str" cm="1">
        <f t="array" ref="C36">IFERROR(INDEX(_xlfn._xlws.FILTER(tbl_tasks[Task_Name],(tbl_tasks[Project_ID]=$A$4)*IF($B$6="All",TRUE,tbl_tasks[Technology]=$B$6)),28),"")</f>
        <v>Battery testing &amp; commissioning</v>
      </c>
      <c r="D36" s="64" cm="1">
        <f t="array" ref="D36">IFERROR(INDEX(_xlfn._xlws.FILTER(tbl_tasks[Start_Date],(tbl_tasks[Project_ID]=$A$4)*IF($B$6="All",TRUE,tbl_tasks[Technology]=$B$6)),28),"")</f>
        <v>45623</v>
      </c>
      <c r="E36" s="64" cm="1">
        <f t="array" ref="E36">IFERROR(INDEX(_xlfn._xlws.FILTER(tbl_tasks[End_Date],(tbl_tasks[Project_ID]=$A$4)*IF($B$6="All",TRUE,tbl_tasks[Technology]=$B$6)),28),"")</f>
        <v>45685</v>
      </c>
      <c r="F36" s="65" cm="1">
        <f t="array" ref="F36">IFERROR(INDEX(_xlfn._xlws.FILTER(tbl_tasks[Duration],(tbl_tasks[Project_ID]=$A$4)*IF($B$6="All",TRUE,tbl_tasks[Technology]=$B$6)),28),"")</f>
        <v>62</v>
      </c>
      <c r="G36" s="66" t="str" cm="1">
        <f t="array" ref="G36">IFERROR(INDEX(_xlfn._xlws.FILTER(tbl_tasks[Status],(tbl_tasks[Project_ID]=$A$4)*IF($B$6="All",TRUE,tbl_tasks[Technology]=$B$6)),28),"")</f>
        <v>Planned</v>
      </c>
      <c r="H36" s="67" t="str">
        <f t="shared" si="7"/>
        <v/>
      </c>
      <c r="I36" s="67" t="str">
        <f t="shared" si="7"/>
        <v/>
      </c>
      <c r="J36" s="67" t="str">
        <f t="shared" si="7"/>
        <v/>
      </c>
      <c r="K36" s="67" t="str">
        <f t="shared" si="7"/>
        <v/>
      </c>
      <c r="L36" s="67" t="str">
        <f t="shared" si="7"/>
        <v/>
      </c>
      <c r="M36" s="67" t="str">
        <f t="shared" si="7"/>
        <v/>
      </c>
      <c r="N36" s="67" t="str">
        <f t="shared" si="7"/>
        <v/>
      </c>
      <c r="O36" s="67" t="str">
        <f t="shared" si="7"/>
        <v/>
      </c>
      <c r="P36" s="67" t="str">
        <f t="shared" si="7"/>
        <v/>
      </c>
      <c r="Q36" s="67" t="str">
        <f t="shared" si="7"/>
        <v/>
      </c>
      <c r="R36" s="67" t="str">
        <f t="shared" si="7"/>
        <v/>
      </c>
      <c r="S36" s="67" t="str">
        <f t="shared" si="7"/>
        <v/>
      </c>
      <c r="T36" s="67" t="str">
        <f t="shared" si="7"/>
        <v/>
      </c>
      <c r="U36" s="67" t="str">
        <f t="shared" si="7"/>
        <v/>
      </c>
      <c r="V36" s="67" t="str">
        <f t="shared" si="7"/>
        <v/>
      </c>
      <c r="W36" s="67" t="str">
        <f t="shared" si="7"/>
        <v/>
      </c>
      <c r="X36" s="67" t="str">
        <f t="shared" si="6"/>
        <v/>
      </c>
      <c r="Y36" s="67" t="str">
        <f t="shared" si="6"/>
        <v/>
      </c>
      <c r="Z36" s="67" t="str">
        <f t="shared" si="6"/>
        <v/>
      </c>
      <c r="AA36" s="67" t="str">
        <f t="shared" si="6"/>
        <v/>
      </c>
      <c r="AB36" s="67" t="str">
        <f t="shared" si="6"/>
        <v/>
      </c>
      <c r="AC36" s="67" t="str">
        <f t="shared" si="6"/>
        <v/>
      </c>
      <c r="AD36" s="67" t="str">
        <f t="shared" si="6"/>
        <v>Storage</v>
      </c>
      <c r="AE36" s="67" t="str">
        <f t="shared" si="6"/>
        <v>Storage</v>
      </c>
      <c r="AF36" s="67" t="str">
        <f t="shared" si="6"/>
        <v>Storage</v>
      </c>
      <c r="AG36" s="67" t="str">
        <f t="shared" si="6"/>
        <v/>
      </c>
      <c r="AH36" s="67" t="str">
        <f t="shared" si="9"/>
        <v/>
      </c>
      <c r="AI36" s="67" t="str">
        <f t="shared" si="9"/>
        <v/>
      </c>
      <c r="AJ36" s="67" t="str">
        <f t="shared" si="9"/>
        <v/>
      </c>
      <c r="AK36" s="67" t="str">
        <f t="shared" si="9"/>
        <v/>
      </c>
      <c r="AL36" s="67" t="str">
        <f t="shared" si="9"/>
        <v/>
      </c>
      <c r="AM36" s="67" t="str">
        <f t="shared" si="9"/>
        <v/>
      </c>
      <c r="AN36" s="67" t="str">
        <f t="shared" si="9"/>
        <v/>
      </c>
      <c r="AO36" s="67" t="str">
        <f t="shared" si="9"/>
        <v/>
      </c>
      <c r="AP36" s="67" t="str">
        <f t="shared" si="9"/>
        <v/>
      </c>
      <c r="AQ36" s="67" t="str">
        <f t="shared" si="9"/>
        <v/>
      </c>
      <c r="AR36" s="67" t="str">
        <f t="shared" si="9"/>
        <v/>
      </c>
      <c r="AS36" s="67" t="str">
        <f t="shared" si="9"/>
        <v/>
      </c>
      <c r="AT36" s="67" t="str">
        <f t="shared" si="9"/>
        <v/>
      </c>
      <c r="AU36" s="68" t="str">
        <f t="shared" si="9"/>
        <v/>
      </c>
      <c r="AV36" s="69" t="str">
        <f t="shared" si="9"/>
        <v/>
      </c>
      <c r="AW36" s="67" t="str">
        <f t="shared" si="9"/>
        <v/>
      </c>
      <c r="AX36" s="67" t="str">
        <f t="shared" si="8"/>
        <v/>
      </c>
      <c r="AY36" s="67" t="str">
        <f t="shared" si="8"/>
        <v/>
      </c>
      <c r="AZ36" s="67" t="str">
        <f t="shared" si="8"/>
        <v/>
      </c>
      <c r="BA36" s="67" t="str">
        <f t="shared" si="4"/>
        <v/>
      </c>
      <c r="BB36" s="67" t="str">
        <f t="shared" si="4"/>
        <v/>
      </c>
      <c r="BC36" s="67" t="str">
        <f t="shared" si="4"/>
        <v/>
      </c>
    </row>
    <row r="37" spans="1:55" ht="19.95" customHeight="1" x14ac:dyDescent="0.3">
      <c r="A37" s="62" cm="1">
        <f t="array" ref="A37">IFERROR(INDEX(_xlfn._xlws.FILTER(tbl_tasks[Final_Priority],(tbl_tasks[Project_ID]=$A$4)*IF($B$6="All",TRUE,tbl_tasks[Technology]=$B$6)),29),"")</f>
        <v>29</v>
      </c>
      <c r="B37" s="63" t="str" cm="1">
        <f t="array" ref="B37">IFERROR(INDEX(_xlfn._xlws.FILTER(tbl_tasks[Technology],(tbl_tasks[Project_ID]=$A$4)*IF($B$6="All",TRUE,tbl_tasks[Technology]=$B$6)),29),"")</f>
        <v>Storage</v>
      </c>
      <c r="C37" s="63" t="str" cm="1">
        <f t="array" ref="C37">IFERROR(INDEX(_xlfn._xlws.FILTER(tbl_tasks[Task_Name],(tbl_tasks[Project_ID]=$A$4)*IF($B$6="All",TRUE,tbl_tasks[Technology]=$B$6)),29),"")</f>
        <v>Grid integration of storage</v>
      </c>
      <c r="D37" s="64" cm="1">
        <f t="array" ref="D37">IFERROR(INDEX(_xlfn._xlws.FILTER(tbl_tasks[Start_Date],(tbl_tasks[Project_ID]=$A$4)*IF($B$6="All",TRUE,tbl_tasks[Technology]=$B$6)),29),"")</f>
        <v>45685</v>
      </c>
      <c r="E37" s="64" cm="1">
        <f t="array" ref="E37">IFERROR(INDEX(_xlfn._xlws.FILTER(tbl_tasks[End_Date],(tbl_tasks[Project_ID]=$A$4)*IF($B$6="All",TRUE,tbl_tasks[Technology]=$B$6)),29),"")</f>
        <v>45750</v>
      </c>
      <c r="F37" s="65" cm="1">
        <f t="array" ref="F37">IFERROR(INDEX(_xlfn._xlws.FILTER(tbl_tasks[Duration],(tbl_tasks[Project_ID]=$A$4)*IF($B$6="All",TRUE,tbl_tasks[Technology]=$B$6)),29),"")</f>
        <v>65</v>
      </c>
      <c r="G37" s="66" t="str" cm="1">
        <f t="array" ref="G37">IFERROR(INDEX(_xlfn._xlws.FILTER(tbl_tasks[Status],(tbl_tasks[Project_ID]=$A$4)*IF($B$6="All",TRUE,tbl_tasks[Technology]=$B$6)),29),"")</f>
        <v>Planned</v>
      </c>
      <c r="H37" s="67" t="str">
        <f t="shared" si="7"/>
        <v/>
      </c>
      <c r="I37" s="67" t="str">
        <f t="shared" si="7"/>
        <v/>
      </c>
      <c r="J37" s="67" t="str">
        <f t="shared" si="7"/>
        <v/>
      </c>
      <c r="K37" s="67" t="str">
        <f t="shared" si="7"/>
        <v/>
      </c>
      <c r="L37" s="67" t="str">
        <f t="shared" si="7"/>
        <v/>
      </c>
      <c r="M37" s="67" t="str">
        <f t="shared" si="7"/>
        <v/>
      </c>
      <c r="N37" s="67" t="str">
        <f t="shared" si="7"/>
        <v/>
      </c>
      <c r="O37" s="67" t="str">
        <f t="shared" si="7"/>
        <v/>
      </c>
      <c r="P37" s="67" t="str">
        <f t="shared" si="7"/>
        <v/>
      </c>
      <c r="Q37" s="67" t="str">
        <f t="shared" si="7"/>
        <v/>
      </c>
      <c r="R37" s="67" t="str">
        <f t="shared" si="7"/>
        <v/>
      </c>
      <c r="S37" s="67" t="str">
        <f t="shared" si="7"/>
        <v/>
      </c>
      <c r="T37" s="67" t="str">
        <f t="shared" si="7"/>
        <v/>
      </c>
      <c r="U37" s="67" t="str">
        <f t="shared" si="7"/>
        <v/>
      </c>
      <c r="V37" s="67" t="str">
        <f t="shared" si="7"/>
        <v/>
      </c>
      <c r="W37" s="67" t="str">
        <f t="shared" si="7"/>
        <v/>
      </c>
      <c r="X37" s="67" t="str">
        <f t="shared" si="6"/>
        <v/>
      </c>
      <c r="Y37" s="67" t="str">
        <f t="shared" si="6"/>
        <v/>
      </c>
      <c r="Z37" s="67" t="str">
        <f t="shared" si="6"/>
        <v/>
      </c>
      <c r="AA37" s="67" t="str">
        <f t="shared" si="6"/>
        <v/>
      </c>
      <c r="AB37" s="67" t="str">
        <f t="shared" si="6"/>
        <v/>
      </c>
      <c r="AC37" s="67" t="str">
        <f t="shared" si="6"/>
        <v/>
      </c>
      <c r="AD37" s="67" t="str">
        <f t="shared" si="6"/>
        <v/>
      </c>
      <c r="AE37" s="67" t="str">
        <f t="shared" si="6"/>
        <v/>
      </c>
      <c r="AF37" s="67" t="str">
        <f t="shared" si="6"/>
        <v>Storage</v>
      </c>
      <c r="AG37" s="67" t="str">
        <f t="shared" si="6"/>
        <v>Storage</v>
      </c>
      <c r="AH37" s="67" t="str">
        <f t="shared" si="9"/>
        <v>Storage</v>
      </c>
      <c r="AI37" s="67" t="str">
        <f t="shared" si="9"/>
        <v>Storage</v>
      </c>
      <c r="AJ37" s="67" t="str">
        <f t="shared" si="9"/>
        <v/>
      </c>
      <c r="AK37" s="67" t="str">
        <f t="shared" si="9"/>
        <v/>
      </c>
      <c r="AL37" s="67" t="str">
        <f t="shared" si="9"/>
        <v/>
      </c>
      <c r="AM37" s="67" t="str">
        <f t="shared" si="9"/>
        <v/>
      </c>
      <c r="AN37" s="67" t="str">
        <f t="shared" si="9"/>
        <v/>
      </c>
      <c r="AO37" s="67" t="str">
        <f t="shared" si="9"/>
        <v/>
      </c>
      <c r="AP37" s="67" t="str">
        <f t="shared" si="9"/>
        <v/>
      </c>
      <c r="AQ37" s="67" t="str">
        <f t="shared" si="9"/>
        <v/>
      </c>
      <c r="AR37" s="67" t="str">
        <f t="shared" si="9"/>
        <v/>
      </c>
      <c r="AS37" s="67" t="str">
        <f t="shared" si="9"/>
        <v/>
      </c>
      <c r="AT37" s="67" t="str">
        <f t="shared" si="9"/>
        <v/>
      </c>
      <c r="AU37" s="68" t="str">
        <f t="shared" si="9"/>
        <v/>
      </c>
      <c r="AV37" s="69" t="str">
        <f t="shared" si="9"/>
        <v/>
      </c>
      <c r="AW37" s="67" t="str">
        <f t="shared" si="9"/>
        <v/>
      </c>
      <c r="AX37" s="67" t="str">
        <f t="shared" si="8"/>
        <v/>
      </c>
      <c r="AY37" s="67" t="str">
        <f t="shared" si="8"/>
        <v/>
      </c>
      <c r="AZ37" s="67" t="str">
        <f t="shared" si="8"/>
        <v/>
      </c>
      <c r="BA37" s="67" t="str">
        <f t="shared" si="4"/>
        <v/>
      </c>
      <c r="BB37" s="67" t="str">
        <f t="shared" si="4"/>
        <v/>
      </c>
      <c r="BC37" s="67" t="str">
        <f t="shared" si="4"/>
        <v/>
      </c>
    </row>
    <row r="38" spans="1:55" ht="19.95" customHeight="1" x14ac:dyDescent="0.3">
      <c r="A38" s="62" cm="1">
        <f t="array" ref="A38">IFERROR(INDEX(_xlfn._xlws.FILTER(tbl_tasks[Final_Priority],(tbl_tasks[Project_ID]=$A$4)*IF($B$6="All",TRUE,tbl_tasks[Technology]=$B$6)),30),"")</f>
        <v>30</v>
      </c>
      <c r="B38" s="63" t="str" cm="1">
        <f t="array" ref="B38">IFERROR(INDEX(_xlfn._xlws.FILTER(tbl_tasks[Technology],(tbl_tasks[Project_ID]=$A$4)*IF($B$6="All",TRUE,tbl_tasks[Technology]=$B$6)),30),"")</f>
        <v>Multi-tech</v>
      </c>
      <c r="C38" s="63" t="str" cm="1">
        <f t="array" ref="C38">IFERROR(INDEX(_xlfn._xlws.FILTER(tbl_tasks[Task_Name],(tbl_tasks[Project_ID]=$A$4)*IF($B$6="All",TRUE,tbl_tasks[Technology]=$B$6)),30),"")</f>
        <v>Testing &amp; Validation</v>
      </c>
      <c r="D38" s="64" cm="1">
        <f t="array" ref="D38">IFERROR(INDEX(_xlfn._xlws.FILTER(tbl_tasks[Start_Date],(tbl_tasks[Project_ID]=$A$4)*IF($B$6="All",TRUE,tbl_tasks[Technology]=$B$6)),30),"")</f>
        <v>45750</v>
      </c>
      <c r="E38" s="64" cm="1">
        <f t="array" ref="E38">IFERROR(INDEX(_xlfn._xlws.FILTER(tbl_tasks[End_Date],(tbl_tasks[Project_ID]=$A$4)*IF($B$6="All",TRUE,tbl_tasks[Technology]=$B$6)),30),"")</f>
        <v>45778</v>
      </c>
      <c r="F38" s="65" cm="1">
        <f t="array" ref="F38">IFERROR(INDEX(_xlfn._xlws.FILTER(tbl_tasks[Duration],(tbl_tasks[Project_ID]=$A$4)*IF($B$6="All",TRUE,tbl_tasks[Technology]=$B$6)),30),"")</f>
        <v>28</v>
      </c>
      <c r="G38" s="66" t="str" cm="1">
        <f t="array" ref="G38">IFERROR(INDEX(_xlfn._xlws.FILTER(tbl_tasks[Status],(tbl_tasks[Project_ID]=$A$4)*IF($B$6="All",TRUE,tbl_tasks[Technology]=$B$6)),30),"")</f>
        <v>Planned</v>
      </c>
      <c r="H38" s="67" t="str">
        <f t="shared" si="7"/>
        <v/>
      </c>
      <c r="I38" s="67" t="str">
        <f t="shared" si="7"/>
        <v/>
      </c>
      <c r="J38" s="67" t="str">
        <f t="shared" si="7"/>
        <v/>
      </c>
      <c r="K38" s="67" t="str">
        <f t="shared" si="7"/>
        <v/>
      </c>
      <c r="L38" s="67" t="str">
        <f t="shared" si="7"/>
        <v/>
      </c>
      <c r="M38" s="67" t="str">
        <f t="shared" si="7"/>
        <v/>
      </c>
      <c r="N38" s="67" t="str">
        <f t="shared" si="7"/>
        <v/>
      </c>
      <c r="O38" s="67" t="str">
        <f t="shared" si="7"/>
        <v/>
      </c>
      <c r="P38" s="67" t="str">
        <f t="shared" si="7"/>
        <v/>
      </c>
      <c r="Q38" s="67" t="str">
        <f t="shared" si="7"/>
        <v/>
      </c>
      <c r="R38" s="67" t="str">
        <f t="shared" si="7"/>
        <v/>
      </c>
      <c r="S38" s="67" t="str">
        <f t="shared" si="7"/>
        <v/>
      </c>
      <c r="T38" s="67" t="str">
        <f t="shared" si="7"/>
        <v/>
      </c>
      <c r="U38" s="67" t="str">
        <f t="shared" si="7"/>
        <v/>
      </c>
      <c r="V38" s="67" t="str">
        <f t="shared" si="7"/>
        <v/>
      </c>
      <c r="W38" s="67" t="str">
        <f t="shared" si="7"/>
        <v/>
      </c>
      <c r="X38" s="67" t="str">
        <f t="shared" si="6"/>
        <v/>
      </c>
      <c r="Y38" s="67" t="str">
        <f t="shared" si="6"/>
        <v/>
      </c>
      <c r="Z38" s="67" t="str">
        <f t="shared" si="6"/>
        <v/>
      </c>
      <c r="AA38" s="67" t="str">
        <f t="shared" si="6"/>
        <v/>
      </c>
      <c r="AB38" s="67" t="str">
        <f t="shared" si="6"/>
        <v/>
      </c>
      <c r="AC38" s="67" t="str">
        <f t="shared" si="6"/>
        <v/>
      </c>
      <c r="AD38" s="67" t="str">
        <f t="shared" si="6"/>
        <v/>
      </c>
      <c r="AE38" s="67" t="str">
        <f t="shared" si="6"/>
        <v/>
      </c>
      <c r="AF38" s="67" t="str">
        <f t="shared" si="6"/>
        <v/>
      </c>
      <c r="AG38" s="67" t="str">
        <f t="shared" si="6"/>
        <v/>
      </c>
      <c r="AH38" s="67" t="str">
        <f t="shared" si="9"/>
        <v/>
      </c>
      <c r="AI38" s="67" t="str">
        <f t="shared" si="9"/>
        <v>Multi-tech</v>
      </c>
      <c r="AJ38" s="67" t="str">
        <f t="shared" si="9"/>
        <v>Multi-tech</v>
      </c>
      <c r="AK38" s="67" t="str">
        <f t="shared" si="9"/>
        <v/>
      </c>
      <c r="AL38" s="67" t="str">
        <f t="shared" si="9"/>
        <v/>
      </c>
      <c r="AM38" s="67" t="str">
        <f t="shared" si="9"/>
        <v/>
      </c>
      <c r="AN38" s="67" t="str">
        <f t="shared" si="9"/>
        <v/>
      </c>
      <c r="AO38" s="67" t="str">
        <f t="shared" si="9"/>
        <v/>
      </c>
      <c r="AP38" s="67" t="str">
        <f t="shared" si="9"/>
        <v/>
      </c>
      <c r="AQ38" s="67" t="str">
        <f t="shared" si="9"/>
        <v/>
      </c>
      <c r="AR38" s="67" t="str">
        <f t="shared" si="9"/>
        <v/>
      </c>
      <c r="AS38" s="67" t="str">
        <f t="shared" si="9"/>
        <v/>
      </c>
      <c r="AT38" s="67" t="str">
        <f t="shared" si="9"/>
        <v/>
      </c>
      <c r="AU38" s="68" t="str">
        <f t="shared" si="9"/>
        <v/>
      </c>
      <c r="AV38" s="69" t="str">
        <f t="shared" si="9"/>
        <v/>
      </c>
      <c r="AW38" s="67" t="str">
        <f t="shared" si="9"/>
        <v/>
      </c>
      <c r="AX38" s="67" t="str">
        <f t="shared" si="8"/>
        <v/>
      </c>
      <c r="AY38" s="67" t="str">
        <f t="shared" si="8"/>
        <v/>
      </c>
      <c r="AZ38" s="67" t="str">
        <f t="shared" si="8"/>
        <v/>
      </c>
      <c r="BA38" s="67" t="str">
        <f t="shared" si="4"/>
        <v/>
      </c>
      <c r="BB38" s="67" t="str">
        <f t="shared" si="4"/>
        <v/>
      </c>
      <c r="BC38" s="67" t="str">
        <f t="shared" si="4"/>
        <v/>
      </c>
    </row>
    <row r="39" spans="1:55" ht="19.95" customHeight="1" x14ac:dyDescent="0.3">
      <c r="A39" s="62" cm="1">
        <f t="array" ref="A39">IFERROR(INDEX(_xlfn._xlws.FILTER(tbl_tasks[Final_Priority],(tbl_tasks[Project_ID]=$A$4)*IF($B$6="All",TRUE,tbl_tasks[Technology]=$B$6)),31),"")</f>
        <v>31</v>
      </c>
      <c r="B39" s="63" t="str" cm="1">
        <f t="array" ref="B39">IFERROR(INDEX(_xlfn._xlws.FILTER(tbl_tasks[Technology],(tbl_tasks[Project_ID]=$A$4)*IF($B$6="All",TRUE,tbl_tasks[Technology]=$B$6)),31),"")</f>
        <v>Multi-tech</v>
      </c>
      <c r="C39" s="63" t="str" cm="1">
        <f t="array" ref="C39">IFERROR(INDEX(_xlfn._xlws.FILTER(tbl_tasks[Task_Name],(tbl_tasks[Project_ID]=$A$4)*IF($B$6="All",TRUE,tbl_tasks[Technology]=$B$6)),31),"")</f>
        <v>Commissioning</v>
      </c>
      <c r="D39" s="64" cm="1">
        <f t="array" ref="D39">IFERROR(INDEX(_xlfn._xlws.FILTER(tbl_tasks[Start_Date],(tbl_tasks[Project_ID]=$A$4)*IF($B$6="All",TRUE,tbl_tasks[Technology]=$B$6)),31),"")</f>
        <v>45778</v>
      </c>
      <c r="E39" s="64" cm="1">
        <f t="array" ref="E39">IFERROR(INDEX(_xlfn._xlws.FILTER(tbl_tasks[End_Date],(tbl_tasks[Project_ID]=$A$4)*IF($B$6="All",TRUE,tbl_tasks[Technology]=$B$6)),31),"")</f>
        <v>45806</v>
      </c>
      <c r="F39" s="65" cm="1">
        <f t="array" ref="F39">IFERROR(INDEX(_xlfn._xlws.FILTER(tbl_tasks[Duration],(tbl_tasks[Project_ID]=$A$4)*IF($B$6="All",TRUE,tbl_tasks[Technology]=$B$6)),31),"")</f>
        <v>28</v>
      </c>
      <c r="G39" s="66" t="str" cm="1">
        <f t="array" ref="G39">IFERROR(INDEX(_xlfn._xlws.FILTER(tbl_tasks[Status],(tbl_tasks[Project_ID]=$A$4)*IF($B$6="All",TRUE,tbl_tasks[Technology]=$B$6)),31),"")</f>
        <v>Planned</v>
      </c>
      <c r="H39" s="67" t="str">
        <f t="shared" si="7"/>
        <v/>
      </c>
      <c r="I39" s="67" t="str">
        <f t="shared" si="7"/>
        <v/>
      </c>
      <c r="J39" s="67" t="str">
        <f t="shared" si="7"/>
        <v/>
      </c>
      <c r="K39" s="67" t="str">
        <f t="shared" si="7"/>
        <v/>
      </c>
      <c r="L39" s="67" t="str">
        <f t="shared" si="7"/>
        <v/>
      </c>
      <c r="M39" s="67" t="str">
        <f t="shared" si="7"/>
        <v/>
      </c>
      <c r="N39" s="67" t="str">
        <f t="shared" si="7"/>
        <v/>
      </c>
      <c r="O39" s="67" t="str">
        <f t="shared" si="7"/>
        <v/>
      </c>
      <c r="P39" s="67" t="str">
        <f t="shared" si="7"/>
        <v/>
      </c>
      <c r="Q39" s="67" t="str">
        <f t="shared" si="7"/>
        <v/>
      </c>
      <c r="R39" s="67" t="str">
        <f t="shared" si="7"/>
        <v/>
      </c>
      <c r="S39" s="67" t="str">
        <f t="shared" si="7"/>
        <v/>
      </c>
      <c r="T39" s="67" t="str">
        <f t="shared" si="7"/>
        <v/>
      </c>
      <c r="U39" s="67" t="str">
        <f t="shared" si="7"/>
        <v/>
      </c>
      <c r="V39" s="67" t="str">
        <f t="shared" si="7"/>
        <v/>
      </c>
      <c r="W39" s="67" t="str">
        <f t="shared" si="7"/>
        <v/>
      </c>
      <c r="X39" s="67" t="str">
        <f t="shared" si="6"/>
        <v/>
      </c>
      <c r="Y39" s="67" t="str">
        <f t="shared" si="6"/>
        <v/>
      </c>
      <c r="Z39" s="67" t="str">
        <f t="shared" si="6"/>
        <v/>
      </c>
      <c r="AA39" s="67" t="str">
        <f t="shared" si="6"/>
        <v/>
      </c>
      <c r="AB39" s="67" t="str">
        <f t="shared" si="6"/>
        <v/>
      </c>
      <c r="AC39" s="67" t="str">
        <f t="shared" si="6"/>
        <v/>
      </c>
      <c r="AD39" s="67" t="str">
        <f t="shared" si="6"/>
        <v/>
      </c>
      <c r="AE39" s="67" t="str">
        <f t="shared" si="6"/>
        <v/>
      </c>
      <c r="AF39" s="67" t="str">
        <f t="shared" si="6"/>
        <v/>
      </c>
      <c r="AG39" s="67" t="str">
        <f t="shared" si="6"/>
        <v/>
      </c>
      <c r="AH39" s="67" t="str">
        <f t="shared" si="9"/>
        <v/>
      </c>
      <c r="AI39" s="67" t="str">
        <f t="shared" si="9"/>
        <v/>
      </c>
      <c r="AJ39" s="67" t="str">
        <f t="shared" si="9"/>
        <v>Multi-tech</v>
      </c>
      <c r="AK39" s="67" t="str">
        <f t="shared" si="9"/>
        <v/>
      </c>
      <c r="AL39" s="67" t="str">
        <f t="shared" si="9"/>
        <v/>
      </c>
      <c r="AM39" s="67" t="str">
        <f t="shared" si="9"/>
        <v/>
      </c>
      <c r="AN39" s="67" t="str">
        <f t="shared" si="9"/>
        <v/>
      </c>
      <c r="AO39" s="67" t="str">
        <f t="shared" si="9"/>
        <v/>
      </c>
      <c r="AP39" s="67" t="str">
        <f t="shared" si="9"/>
        <v/>
      </c>
      <c r="AQ39" s="67" t="str">
        <f t="shared" si="9"/>
        <v/>
      </c>
      <c r="AR39" s="67" t="str">
        <f t="shared" si="9"/>
        <v/>
      </c>
      <c r="AS39" s="67" t="str">
        <f t="shared" si="9"/>
        <v/>
      </c>
      <c r="AT39" s="67" t="str">
        <f t="shared" si="9"/>
        <v/>
      </c>
      <c r="AU39" s="68" t="str">
        <f t="shared" si="9"/>
        <v/>
      </c>
      <c r="AV39" s="69" t="str">
        <f t="shared" si="9"/>
        <v/>
      </c>
      <c r="AW39" s="67" t="str">
        <f t="shared" si="9"/>
        <v/>
      </c>
      <c r="AX39" s="67" t="str">
        <f t="shared" si="8"/>
        <v/>
      </c>
      <c r="AY39" s="67" t="str">
        <f t="shared" si="8"/>
        <v/>
      </c>
      <c r="AZ39" s="67" t="str">
        <f t="shared" si="8"/>
        <v/>
      </c>
      <c r="BA39" s="67" t="str">
        <f t="shared" si="4"/>
        <v/>
      </c>
      <c r="BB39" s="67" t="str">
        <f t="shared" si="4"/>
        <v/>
      </c>
      <c r="BC39" s="67" t="str">
        <f t="shared" si="4"/>
        <v/>
      </c>
    </row>
    <row r="40" spans="1:55" ht="19.95" customHeight="1" x14ac:dyDescent="0.3">
      <c r="A40" s="62" cm="1">
        <f t="array" ref="A40">IFERROR(INDEX(_xlfn._xlws.FILTER(tbl_tasks[Final_Priority],(tbl_tasks[Project_ID]=$A$4)*IF($B$6="All",TRUE,tbl_tasks[Technology]=$B$6)),32),"")</f>
        <v>32</v>
      </c>
      <c r="B40" s="63" t="str" cm="1">
        <f t="array" ref="B40">IFERROR(INDEX(_xlfn._xlws.FILTER(tbl_tasks[Technology],(tbl_tasks[Project_ID]=$A$4)*IF($B$6="All",TRUE,tbl_tasks[Technology]=$B$6)),32),"")</f>
        <v>Multi-tech</v>
      </c>
      <c r="C40" s="63" t="str" cm="1">
        <f t="array" ref="C40">IFERROR(INDEX(_xlfn._xlws.FILTER(tbl_tasks[Task_Name],(tbl_tasks[Project_ID]=$A$4)*IF($B$6="All",TRUE,tbl_tasks[Technology]=$B$6)),32),"")</f>
        <v>Grid integration</v>
      </c>
      <c r="D40" s="64" cm="1">
        <f t="array" ref="D40">IFERROR(INDEX(_xlfn._xlws.FILTER(tbl_tasks[Start_Date],(tbl_tasks[Project_ID]=$A$4)*IF($B$6="All",TRUE,tbl_tasks[Technology]=$B$6)),32),"")</f>
        <v>45806</v>
      </c>
      <c r="E40" s="64" cm="1">
        <f t="array" ref="E40">IFERROR(INDEX(_xlfn._xlws.FILTER(tbl_tasks[End_Date],(tbl_tasks[Project_ID]=$A$4)*IF($B$6="All",TRUE,tbl_tasks[Technology]=$B$6)),32),"")</f>
        <v>45834</v>
      </c>
      <c r="F40" s="65" cm="1">
        <f t="array" ref="F40">IFERROR(INDEX(_xlfn._xlws.FILTER(tbl_tasks[Duration],(tbl_tasks[Project_ID]=$A$4)*IF($B$6="All",TRUE,tbl_tasks[Technology]=$B$6)),32),"")</f>
        <v>28</v>
      </c>
      <c r="G40" s="66" t="str" cm="1">
        <f t="array" ref="G40">IFERROR(INDEX(_xlfn._xlws.FILTER(tbl_tasks[Status],(tbl_tasks[Project_ID]=$A$4)*IF($B$6="All",TRUE,tbl_tasks[Technology]=$B$6)),32),"")</f>
        <v>Planned</v>
      </c>
      <c r="H40" s="67" t="str">
        <f t="shared" si="7"/>
        <v/>
      </c>
      <c r="I40" s="67" t="str">
        <f t="shared" si="7"/>
        <v/>
      </c>
      <c r="J40" s="67" t="str">
        <f t="shared" si="7"/>
        <v/>
      </c>
      <c r="K40" s="67" t="str">
        <f t="shared" si="7"/>
        <v/>
      </c>
      <c r="L40" s="67" t="str">
        <f t="shared" si="7"/>
        <v/>
      </c>
      <c r="M40" s="67" t="str">
        <f t="shared" si="7"/>
        <v/>
      </c>
      <c r="N40" s="67" t="str">
        <f t="shared" si="7"/>
        <v/>
      </c>
      <c r="O40" s="67" t="str">
        <f t="shared" si="7"/>
        <v/>
      </c>
      <c r="P40" s="67" t="str">
        <f t="shared" si="7"/>
        <v/>
      </c>
      <c r="Q40" s="67" t="str">
        <f t="shared" si="7"/>
        <v/>
      </c>
      <c r="R40" s="67" t="str">
        <f t="shared" si="7"/>
        <v/>
      </c>
      <c r="S40" s="67" t="str">
        <f t="shared" si="7"/>
        <v/>
      </c>
      <c r="T40" s="67" t="str">
        <f t="shared" si="7"/>
        <v/>
      </c>
      <c r="U40" s="67" t="str">
        <f t="shared" si="7"/>
        <v/>
      </c>
      <c r="V40" s="67" t="str">
        <f t="shared" si="7"/>
        <v/>
      </c>
      <c r="W40" s="67" t="str">
        <f t="shared" si="7"/>
        <v/>
      </c>
      <c r="X40" s="67" t="str">
        <f t="shared" si="6"/>
        <v/>
      </c>
      <c r="Y40" s="67" t="str">
        <f t="shared" si="6"/>
        <v/>
      </c>
      <c r="Z40" s="67" t="str">
        <f t="shared" si="6"/>
        <v/>
      </c>
      <c r="AA40" s="67" t="str">
        <f t="shared" si="6"/>
        <v/>
      </c>
      <c r="AB40" s="67" t="str">
        <f t="shared" si="6"/>
        <v/>
      </c>
      <c r="AC40" s="67" t="str">
        <f t="shared" si="6"/>
        <v/>
      </c>
      <c r="AD40" s="67" t="str">
        <f t="shared" si="6"/>
        <v/>
      </c>
      <c r="AE40" s="67" t="str">
        <f t="shared" si="6"/>
        <v/>
      </c>
      <c r="AF40" s="67" t="str">
        <f t="shared" si="6"/>
        <v/>
      </c>
      <c r="AG40" s="67" t="str">
        <f t="shared" si="6"/>
        <v/>
      </c>
      <c r="AH40" s="67" t="str">
        <f t="shared" si="9"/>
        <v/>
      </c>
      <c r="AI40" s="67" t="str">
        <f t="shared" si="9"/>
        <v/>
      </c>
      <c r="AJ40" s="67" t="str">
        <f t="shared" si="9"/>
        <v>Multi-tech</v>
      </c>
      <c r="AK40" s="67" t="str">
        <f t="shared" si="9"/>
        <v>Multi-tech</v>
      </c>
      <c r="AL40" s="67" t="str">
        <f t="shared" si="9"/>
        <v/>
      </c>
      <c r="AM40" s="67" t="str">
        <f t="shared" si="9"/>
        <v/>
      </c>
      <c r="AN40" s="67" t="str">
        <f t="shared" si="9"/>
        <v/>
      </c>
      <c r="AO40" s="67" t="str">
        <f t="shared" si="9"/>
        <v/>
      </c>
      <c r="AP40" s="67" t="str">
        <f t="shared" si="9"/>
        <v/>
      </c>
      <c r="AQ40" s="67" t="str">
        <f t="shared" si="9"/>
        <v/>
      </c>
      <c r="AR40" s="67" t="str">
        <f t="shared" si="9"/>
        <v/>
      </c>
      <c r="AS40" s="67" t="str">
        <f t="shared" si="9"/>
        <v/>
      </c>
      <c r="AT40" s="67" t="str">
        <f t="shared" si="9"/>
        <v/>
      </c>
      <c r="AU40" s="68" t="str">
        <f t="shared" si="9"/>
        <v/>
      </c>
      <c r="AV40" s="69" t="str">
        <f t="shared" si="9"/>
        <v/>
      </c>
      <c r="AW40" s="67" t="str">
        <f t="shared" si="9"/>
        <v/>
      </c>
      <c r="AX40" s="67" t="str">
        <f t="shared" si="8"/>
        <v/>
      </c>
      <c r="AY40" s="67" t="str">
        <f t="shared" si="8"/>
        <v/>
      </c>
      <c r="AZ40" s="67" t="str">
        <f t="shared" si="8"/>
        <v/>
      </c>
      <c r="BA40" s="67" t="str">
        <f t="shared" si="4"/>
        <v/>
      </c>
      <c r="BB40" s="67" t="str">
        <f t="shared" si="4"/>
        <v/>
      </c>
      <c r="BC40" s="67" t="str">
        <f t="shared" si="4"/>
        <v/>
      </c>
    </row>
    <row r="41" spans="1:55" ht="19.95" customHeight="1" x14ac:dyDescent="0.3">
      <c r="A41" s="62" cm="1">
        <f t="array" ref="A41">IFERROR(INDEX(_xlfn._xlws.FILTER(tbl_tasks[Final_Priority],(tbl_tasks[Project_ID]=$A$4)*IF($B$6="All",TRUE,tbl_tasks[Technology]=$B$6)),33),"")</f>
        <v>33</v>
      </c>
      <c r="B41" s="63" t="str" cm="1">
        <f t="array" ref="B41">IFERROR(INDEX(_xlfn._xlws.FILTER(tbl_tasks[Technology],(tbl_tasks[Project_ID]=$A$4)*IF($B$6="All",TRUE,tbl_tasks[Technology]=$B$6)),33),"")</f>
        <v>Multi-tech</v>
      </c>
      <c r="C41" s="63" t="str" cm="1">
        <f t="array" ref="C41">IFERROR(INDEX(_xlfn._xlws.FILTER(tbl_tasks[Task_Name],(tbl_tasks[Project_ID]=$A$4)*IF($B$6="All",TRUE,tbl_tasks[Technology]=$B$6)),33),"")</f>
        <v>Grid connection</v>
      </c>
      <c r="D41" s="64" cm="1">
        <f t="array" ref="D41">IFERROR(INDEX(_xlfn._xlws.FILTER(tbl_tasks[Start_Date],(tbl_tasks[Project_ID]=$A$4)*IF($B$6="All",TRUE,tbl_tasks[Technology]=$B$6)),33),"")</f>
        <v>45834</v>
      </c>
      <c r="E41" s="64" cm="1">
        <f t="array" ref="E41">IFERROR(INDEX(_xlfn._xlws.FILTER(tbl_tasks[End_Date],(tbl_tasks[Project_ID]=$A$4)*IF($B$6="All",TRUE,tbl_tasks[Technology]=$B$6)),33),"")</f>
        <v>45862</v>
      </c>
      <c r="F41" s="65" cm="1">
        <f t="array" ref="F41">IFERROR(INDEX(_xlfn._xlws.FILTER(tbl_tasks[Duration],(tbl_tasks[Project_ID]=$A$4)*IF($B$6="All",TRUE,tbl_tasks[Technology]=$B$6)),33),"")</f>
        <v>28</v>
      </c>
      <c r="G41" s="66" t="str" cm="1">
        <f t="array" ref="G41">IFERROR(INDEX(_xlfn._xlws.FILTER(tbl_tasks[Status],(tbl_tasks[Project_ID]=$A$4)*IF($B$6="All",TRUE,tbl_tasks[Technology]=$B$6)),33),"")</f>
        <v>Planned</v>
      </c>
      <c r="H41" s="67" t="str">
        <f t="shared" si="7"/>
        <v/>
      </c>
      <c r="I41" s="67" t="str">
        <f t="shared" si="7"/>
        <v/>
      </c>
      <c r="J41" s="67" t="str">
        <f t="shared" si="7"/>
        <v/>
      </c>
      <c r="K41" s="67" t="str">
        <f t="shared" si="7"/>
        <v/>
      </c>
      <c r="L41" s="67" t="str">
        <f t="shared" si="7"/>
        <v/>
      </c>
      <c r="M41" s="67" t="str">
        <f t="shared" si="7"/>
        <v/>
      </c>
      <c r="N41" s="67" t="str">
        <f t="shared" si="7"/>
        <v/>
      </c>
      <c r="O41" s="67" t="str">
        <f t="shared" si="7"/>
        <v/>
      </c>
      <c r="P41" s="67" t="str">
        <f t="shared" si="7"/>
        <v/>
      </c>
      <c r="Q41" s="67" t="str">
        <f t="shared" si="7"/>
        <v/>
      </c>
      <c r="R41" s="67" t="str">
        <f t="shared" si="7"/>
        <v/>
      </c>
      <c r="S41" s="67" t="str">
        <f t="shared" si="7"/>
        <v/>
      </c>
      <c r="T41" s="67" t="str">
        <f t="shared" si="7"/>
        <v/>
      </c>
      <c r="U41" s="67" t="str">
        <f t="shared" si="7"/>
        <v/>
      </c>
      <c r="V41" s="67" t="str">
        <f t="shared" si="7"/>
        <v/>
      </c>
      <c r="W41" s="67" t="str">
        <f t="shared" si="7"/>
        <v/>
      </c>
      <c r="X41" s="67" t="str">
        <f t="shared" si="6"/>
        <v/>
      </c>
      <c r="Y41" s="67" t="str">
        <f t="shared" si="6"/>
        <v/>
      </c>
      <c r="Z41" s="67" t="str">
        <f t="shared" si="6"/>
        <v/>
      </c>
      <c r="AA41" s="67" t="str">
        <f t="shared" si="6"/>
        <v/>
      </c>
      <c r="AB41" s="67" t="str">
        <f t="shared" si="6"/>
        <v/>
      </c>
      <c r="AC41" s="67" t="str">
        <f t="shared" si="6"/>
        <v/>
      </c>
      <c r="AD41" s="67" t="str">
        <f t="shared" si="6"/>
        <v/>
      </c>
      <c r="AE41" s="67" t="str">
        <f t="shared" si="6"/>
        <v/>
      </c>
      <c r="AF41" s="67" t="str">
        <f t="shared" si="6"/>
        <v/>
      </c>
      <c r="AG41" s="67" t="str">
        <f t="shared" si="6"/>
        <v/>
      </c>
      <c r="AH41" s="67" t="str">
        <f t="shared" si="9"/>
        <v/>
      </c>
      <c r="AI41" s="67" t="str">
        <f t="shared" si="9"/>
        <v/>
      </c>
      <c r="AJ41" s="67" t="str">
        <f t="shared" si="9"/>
        <v/>
      </c>
      <c r="AK41" s="67" t="str">
        <f t="shared" si="9"/>
        <v>Multi-tech</v>
      </c>
      <c r="AL41" s="67" t="str">
        <f t="shared" si="9"/>
        <v>Multi-tech</v>
      </c>
      <c r="AM41" s="67" t="str">
        <f t="shared" si="9"/>
        <v/>
      </c>
      <c r="AN41" s="67" t="str">
        <f t="shared" si="9"/>
        <v/>
      </c>
      <c r="AO41" s="67" t="str">
        <f t="shared" si="9"/>
        <v/>
      </c>
      <c r="AP41" s="67" t="str">
        <f t="shared" si="9"/>
        <v/>
      </c>
      <c r="AQ41" s="67" t="str">
        <f t="shared" si="9"/>
        <v/>
      </c>
      <c r="AR41" s="67" t="str">
        <f t="shared" si="9"/>
        <v/>
      </c>
      <c r="AS41" s="67" t="str">
        <f t="shared" si="9"/>
        <v/>
      </c>
      <c r="AT41" s="67" t="str">
        <f t="shared" si="9"/>
        <v/>
      </c>
      <c r="AU41" s="68" t="str">
        <f t="shared" si="9"/>
        <v/>
      </c>
      <c r="AV41" s="69" t="str">
        <f t="shared" si="9"/>
        <v/>
      </c>
      <c r="AW41" s="67" t="str">
        <f t="shared" si="9"/>
        <v/>
      </c>
      <c r="AX41" s="67" t="str">
        <f t="shared" si="8"/>
        <v/>
      </c>
      <c r="AY41" s="67" t="str">
        <f t="shared" si="8"/>
        <v/>
      </c>
      <c r="AZ41" s="67" t="str">
        <f t="shared" si="8"/>
        <v/>
      </c>
      <c r="BA41" s="67" t="str">
        <f t="shared" si="4"/>
        <v/>
      </c>
      <c r="BB41" s="67" t="str">
        <f t="shared" si="4"/>
        <v/>
      </c>
      <c r="BC41" s="67" t="str">
        <f t="shared" si="4"/>
        <v/>
      </c>
    </row>
    <row r="42" spans="1:55" ht="19.95" customHeight="1" x14ac:dyDescent="0.3">
      <c r="A42" s="62" cm="1">
        <f t="array" ref="A42">IFERROR(INDEX(_xlfn._xlws.FILTER(tbl_tasks[Final_Priority],(tbl_tasks[Project_ID]=$A$4)*IF($B$6="All",TRUE,tbl_tasks[Technology]=$B$6)),34),"")</f>
        <v>34</v>
      </c>
      <c r="B42" s="63" t="str" cm="1">
        <f t="array" ref="B42">IFERROR(INDEX(_xlfn._xlws.FILTER(tbl_tasks[Technology],(tbl_tasks[Project_ID]=$A$4)*IF($B$6="All",TRUE,tbl_tasks[Technology]=$B$6)),34),"")</f>
        <v>Multi-tech</v>
      </c>
      <c r="C42" s="63" t="str" cm="1">
        <f t="array" ref="C42">IFERROR(INDEX(_xlfn._xlws.FILTER(tbl_tasks[Task_Name],(tbl_tasks[Project_ID]=$A$4)*IF($B$6="All",TRUE,tbl_tasks[Technology]=$B$6)),34),"")</f>
        <v>Performance testing</v>
      </c>
      <c r="D42" s="64" cm="1">
        <f t="array" ref="D42">IFERROR(INDEX(_xlfn._xlws.FILTER(tbl_tasks[Start_Date],(tbl_tasks[Project_ID]=$A$4)*IF($B$6="All",TRUE,tbl_tasks[Technology]=$B$6)),34),"")</f>
        <v>45862</v>
      </c>
      <c r="E42" s="64" cm="1">
        <f t="array" ref="E42">IFERROR(INDEX(_xlfn._xlws.FILTER(tbl_tasks[End_Date],(tbl_tasks[Project_ID]=$A$4)*IF($B$6="All",TRUE,tbl_tasks[Technology]=$B$6)),34),"")</f>
        <v>45890</v>
      </c>
      <c r="F42" s="65" cm="1">
        <f t="array" ref="F42">IFERROR(INDEX(_xlfn._xlws.FILTER(tbl_tasks[Duration],(tbl_tasks[Project_ID]=$A$4)*IF($B$6="All",TRUE,tbl_tasks[Technology]=$B$6)),34),"")</f>
        <v>28</v>
      </c>
      <c r="G42" s="66" t="str" cm="1">
        <f t="array" ref="G42">IFERROR(INDEX(_xlfn._xlws.FILTER(tbl_tasks[Status],(tbl_tasks[Project_ID]=$A$4)*IF($B$6="All",TRUE,tbl_tasks[Technology]=$B$6)),34),"")</f>
        <v>Planned</v>
      </c>
      <c r="H42" s="67" t="str">
        <f t="shared" si="7"/>
        <v/>
      </c>
      <c r="I42" s="67" t="str">
        <f t="shared" si="7"/>
        <v/>
      </c>
      <c r="J42" s="67" t="str">
        <f t="shared" si="7"/>
        <v/>
      </c>
      <c r="K42" s="67" t="str">
        <f t="shared" si="7"/>
        <v/>
      </c>
      <c r="L42" s="67" t="str">
        <f t="shared" si="7"/>
        <v/>
      </c>
      <c r="M42" s="67" t="str">
        <f t="shared" si="7"/>
        <v/>
      </c>
      <c r="N42" s="67" t="str">
        <f t="shared" si="7"/>
        <v/>
      </c>
      <c r="O42" s="67" t="str">
        <f t="shared" si="7"/>
        <v/>
      </c>
      <c r="P42" s="67" t="str">
        <f t="shared" si="7"/>
        <v/>
      </c>
      <c r="Q42" s="67" t="str">
        <f t="shared" si="7"/>
        <v/>
      </c>
      <c r="R42" s="67" t="str">
        <f t="shared" si="7"/>
        <v/>
      </c>
      <c r="S42" s="67" t="str">
        <f t="shared" si="7"/>
        <v/>
      </c>
      <c r="T42" s="67" t="str">
        <f t="shared" si="7"/>
        <v/>
      </c>
      <c r="U42" s="67" t="str">
        <f t="shared" si="7"/>
        <v/>
      </c>
      <c r="V42" s="67" t="str">
        <f t="shared" si="7"/>
        <v/>
      </c>
      <c r="W42" s="67" t="str">
        <f t="shared" si="7"/>
        <v/>
      </c>
      <c r="X42" s="67" t="str">
        <f t="shared" si="6"/>
        <v/>
      </c>
      <c r="Y42" s="67" t="str">
        <f t="shared" si="6"/>
        <v/>
      </c>
      <c r="Z42" s="67" t="str">
        <f t="shared" si="6"/>
        <v/>
      </c>
      <c r="AA42" s="67" t="str">
        <f t="shared" si="6"/>
        <v/>
      </c>
      <c r="AB42" s="67" t="str">
        <f t="shared" si="6"/>
        <v/>
      </c>
      <c r="AC42" s="67" t="str">
        <f t="shared" si="6"/>
        <v/>
      </c>
      <c r="AD42" s="67" t="str">
        <f t="shared" si="6"/>
        <v/>
      </c>
      <c r="AE42" s="67" t="str">
        <f t="shared" si="6"/>
        <v/>
      </c>
      <c r="AF42" s="67" t="str">
        <f t="shared" si="6"/>
        <v/>
      </c>
      <c r="AG42" s="67" t="str">
        <f t="shared" si="6"/>
        <v/>
      </c>
      <c r="AH42" s="67" t="str">
        <f t="shared" si="9"/>
        <v/>
      </c>
      <c r="AI42" s="67" t="str">
        <f t="shared" si="9"/>
        <v/>
      </c>
      <c r="AJ42" s="67" t="str">
        <f t="shared" si="9"/>
        <v/>
      </c>
      <c r="AK42" s="67" t="str">
        <f t="shared" si="9"/>
        <v/>
      </c>
      <c r="AL42" s="67" t="str">
        <f t="shared" si="9"/>
        <v>Multi-tech</v>
      </c>
      <c r="AM42" s="67" t="str">
        <f t="shared" si="9"/>
        <v>Multi-tech</v>
      </c>
      <c r="AN42" s="67" t="str">
        <f t="shared" si="9"/>
        <v/>
      </c>
      <c r="AO42" s="67" t="str">
        <f t="shared" si="9"/>
        <v/>
      </c>
      <c r="AP42" s="67" t="str">
        <f t="shared" si="9"/>
        <v/>
      </c>
      <c r="AQ42" s="67" t="str">
        <f t="shared" si="9"/>
        <v/>
      </c>
      <c r="AR42" s="67" t="str">
        <f t="shared" si="9"/>
        <v/>
      </c>
      <c r="AS42" s="67" t="str">
        <f t="shared" si="9"/>
        <v/>
      </c>
      <c r="AT42" s="67" t="str">
        <f t="shared" si="9"/>
        <v/>
      </c>
      <c r="AU42" s="68" t="str">
        <f t="shared" si="9"/>
        <v/>
      </c>
      <c r="AV42" s="69" t="str">
        <f t="shared" si="9"/>
        <v/>
      </c>
      <c r="AW42" s="67" t="str">
        <f t="shared" si="9"/>
        <v/>
      </c>
      <c r="AX42" s="67" t="str">
        <f t="shared" si="8"/>
        <v/>
      </c>
      <c r="AY42" s="67" t="str">
        <f t="shared" si="8"/>
        <v/>
      </c>
      <c r="AZ42" s="67" t="str">
        <f t="shared" si="8"/>
        <v/>
      </c>
      <c r="BA42" s="67" t="str">
        <f t="shared" si="4"/>
        <v/>
      </c>
      <c r="BB42" s="67" t="str">
        <f t="shared" si="4"/>
        <v/>
      </c>
      <c r="BC42" s="67" t="str">
        <f t="shared" si="4"/>
        <v/>
      </c>
    </row>
    <row r="43" spans="1:55" ht="19.95" customHeight="1" x14ac:dyDescent="0.3">
      <c r="A43" s="62" cm="1">
        <f t="array" ref="A43">IFERROR(INDEX(_xlfn._xlws.FILTER(tbl_tasks[Final_Priority],(tbl_tasks[Project_ID]=$A$4)*IF($B$6="All",TRUE,tbl_tasks[Technology]=$B$6)),35),"")</f>
        <v>35</v>
      </c>
      <c r="B43" s="63" t="str" cm="1">
        <f t="array" ref="B43">IFERROR(INDEX(_xlfn._xlws.FILTER(tbl_tasks[Technology],(tbl_tasks[Project_ID]=$A$4)*IF($B$6="All",TRUE,tbl_tasks[Technology]=$B$6)),35),"")</f>
        <v>Multi-tech</v>
      </c>
      <c r="C43" s="63" t="str" cm="1">
        <f t="array" ref="C43">IFERROR(INDEX(_xlfn._xlws.FILTER(tbl_tasks[Task_Name],(tbl_tasks[Project_ID]=$A$4)*IF($B$6="All",TRUE,tbl_tasks[Technology]=$B$6)),35),"")</f>
        <v>SCADA system installation</v>
      </c>
      <c r="D43" s="64" cm="1">
        <f t="array" ref="D43">IFERROR(INDEX(_xlfn._xlws.FILTER(tbl_tasks[Start_Date],(tbl_tasks[Project_ID]=$A$4)*IF($B$6="All",TRUE,tbl_tasks[Technology]=$B$6)),35),"")</f>
        <v>45890</v>
      </c>
      <c r="E43" s="64" cm="1">
        <f t="array" ref="E43">IFERROR(INDEX(_xlfn._xlws.FILTER(tbl_tasks[End_Date],(tbl_tasks[Project_ID]=$A$4)*IF($B$6="All",TRUE,tbl_tasks[Technology]=$B$6)),35),"")</f>
        <v>45918</v>
      </c>
      <c r="F43" s="65" cm="1">
        <f t="array" ref="F43">IFERROR(INDEX(_xlfn._xlws.FILTER(tbl_tasks[Duration],(tbl_tasks[Project_ID]=$A$4)*IF($B$6="All",TRUE,tbl_tasks[Technology]=$B$6)),35),"")</f>
        <v>28</v>
      </c>
      <c r="G43" s="66" t="str" cm="1">
        <f t="array" ref="G43">IFERROR(INDEX(_xlfn._xlws.FILTER(tbl_tasks[Status],(tbl_tasks[Project_ID]=$A$4)*IF($B$6="All",TRUE,tbl_tasks[Technology]=$B$6)),35),"")</f>
        <v>Planned</v>
      </c>
      <c r="H43" s="67" t="str">
        <f t="shared" si="7"/>
        <v/>
      </c>
      <c r="I43" s="67" t="str">
        <f t="shared" si="7"/>
        <v/>
      </c>
      <c r="J43" s="67" t="str">
        <f t="shared" si="7"/>
        <v/>
      </c>
      <c r="K43" s="67" t="str">
        <f t="shared" si="7"/>
        <v/>
      </c>
      <c r="L43" s="67" t="str">
        <f t="shared" si="7"/>
        <v/>
      </c>
      <c r="M43" s="67" t="str">
        <f t="shared" si="7"/>
        <v/>
      </c>
      <c r="N43" s="67" t="str">
        <f t="shared" si="7"/>
        <v/>
      </c>
      <c r="O43" s="67" t="str">
        <f t="shared" si="7"/>
        <v/>
      </c>
      <c r="P43" s="67" t="str">
        <f t="shared" si="7"/>
        <v/>
      </c>
      <c r="Q43" s="67" t="str">
        <f t="shared" si="7"/>
        <v/>
      </c>
      <c r="R43" s="67" t="str">
        <f t="shared" si="7"/>
        <v/>
      </c>
      <c r="S43" s="67" t="str">
        <f t="shared" si="7"/>
        <v/>
      </c>
      <c r="T43" s="67" t="str">
        <f t="shared" si="7"/>
        <v/>
      </c>
      <c r="U43" s="67" t="str">
        <f t="shared" si="7"/>
        <v/>
      </c>
      <c r="V43" s="67" t="str">
        <f t="shared" si="7"/>
        <v/>
      </c>
      <c r="W43" s="67" t="str">
        <f t="shared" si="7"/>
        <v/>
      </c>
      <c r="X43" s="67" t="str">
        <f t="shared" si="6"/>
        <v/>
      </c>
      <c r="Y43" s="67" t="str">
        <f t="shared" si="6"/>
        <v/>
      </c>
      <c r="Z43" s="67" t="str">
        <f t="shared" si="6"/>
        <v/>
      </c>
      <c r="AA43" s="67" t="str">
        <f t="shared" si="6"/>
        <v/>
      </c>
      <c r="AB43" s="67" t="str">
        <f t="shared" si="6"/>
        <v/>
      </c>
      <c r="AC43" s="67" t="str">
        <f t="shared" si="6"/>
        <v/>
      </c>
      <c r="AD43" s="67" t="str">
        <f t="shared" si="6"/>
        <v/>
      </c>
      <c r="AE43" s="67" t="str">
        <f t="shared" si="6"/>
        <v/>
      </c>
      <c r="AF43" s="67" t="str">
        <f t="shared" si="6"/>
        <v/>
      </c>
      <c r="AG43" s="67" t="str">
        <f t="shared" si="6"/>
        <v/>
      </c>
      <c r="AH43" s="67" t="str">
        <f t="shared" si="9"/>
        <v/>
      </c>
      <c r="AI43" s="67" t="str">
        <f t="shared" si="9"/>
        <v/>
      </c>
      <c r="AJ43" s="67" t="str">
        <f t="shared" si="9"/>
        <v/>
      </c>
      <c r="AK43" s="67" t="str">
        <f t="shared" si="9"/>
        <v/>
      </c>
      <c r="AL43" s="67" t="str">
        <f t="shared" si="9"/>
        <v/>
      </c>
      <c r="AM43" s="67" t="str">
        <f t="shared" si="9"/>
        <v>Multi-tech</v>
      </c>
      <c r="AN43" s="67" t="str">
        <f t="shared" si="9"/>
        <v>Multi-tech</v>
      </c>
      <c r="AO43" s="67" t="str">
        <f t="shared" si="9"/>
        <v/>
      </c>
      <c r="AP43" s="67" t="str">
        <f t="shared" si="9"/>
        <v/>
      </c>
      <c r="AQ43" s="67" t="str">
        <f t="shared" si="9"/>
        <v/>
      </c>
      <c r="AR43" s="67" t="str">
        <f t="shared" si="9"/>
        <v/>
      </c>
      <c r="AS43" s="67" t="str">
        <f t="shared" si="9"/>
        <v/>
      </c>
      <c r="AT43" s="67" t="str">
        <f t="shared" si="9"/>
        <v/>
      </c>
      <c r="AU43" s="68" t="str">
        <f t="shared" si="9"/>
        <v/>
      </c>
      <c r="AV43" s="69" t="str">
        <f t="shared" si="9"/>
        <v/>
      </c>
      <c r="AW43" s="67" t="str">
        <f t="shared" si="9"/>
        <v/>
      </c>
      <c r="AX43" s="67" t="str">
        <f t="shared" si="8"/>
        <v/>
      </c>
      <c r="AY43" s="67" t="str">
        <f t="shared" si="8"/>
        <v/>
      </c>
      <c r="AZ43" s="67" t="str">
        <f t="shared" si="8"/>
        <v/>
      </c>
      <c r="BA43" s="67" t="str">
        <f t="shared" si="4"/>
        <v/>
      </c>
      <c r="BB43" s="67" t="str">
        <f t="shared" si="4"/>
        <v/>
      </c>
      <c r="BC43" s="67" t="str">
        <f t="shared" si="4"/>
        <v/>
      </c>
    </row>
    <row r="44" spans="1:55" ht="19.95" customHeight="1" x14ac:dyDescent="0.3">
      <c r="A44" s="62" cm="1">
        <f t="array" ref="A44">IFERROR(INDEX(_xlfn._xlws.FILTER(tbl_tasks[Final_Priority],(tbl_tasks[Project_ID]=$A$4)*IF($B$6="All",TRUE,tbl_tasks[Technology]=$B$6)),36),"")</f>
        <v>36</v>
      </c>
      <c r="B44" s="63" t="str" cm="1">
        <f t="array" ref="B44">IFERROR(INDEX(_xlfn._xlws.FILTER(tbl_tasks[Technology],(tbl_tasks[Project_ID]=$A$4)*IF($B$6="All",TRUE,tbl_tasks[Technology]=$B$6)),36),"")</f>
        <v>Multi-tech</v>
      </c>
      <c r="C44" s="63" t="str" cm="1">
        <f t="array" ref="C44">IFERROR(INDEX(_xlfn._xlws.FILTER(tbl_tasks[Task_Name],(tbl_tasks[Project_ID]=$A$4)*IF($B$6="All",TRUE,tbl_tasks[Technology]=$B$6)),36),"")</f>
        <v>Operation &amp; Maintenance</v>
      </c>
      <c r="D44" s="64" cm="1">
        <f t="array" ref="D44">IFERROR(INDEX(_xlfn._xlws.FILTER(tbl_tasks[Start_Date],(tbl_tasks[Project_ID]=$A$4)*IF($B$6="All",TRUE,tbl_tasks[Technology]=$B$6)),36),"")</f>
        <v>45918</v>
      </c>
      <c r="E44" s="64" cm="1">
        <f t="array" ref="E44">IFERROR(INDEX(_xlfn._xlws.FILTER(tbl_tasks[End_Date],(tbl_tasks[Project_ID]=$A$4)*IF($B$6="All",TRUE,tbl_tasks[Technology]=$B$6)),36),"")</f>
        <v>45952</v>
      </c>
      <c r="F44" s="65" cm="1">
        <f t="array" ref="F44">IFERROR(INDEX(_xlfn._xlws.FILTER(tbl_tasks[Duration],(tbl_tasks[Project_ID]=$A$4)*IF($B$6="All",TRUE,tbl_tasks[Technology]=$B$6)),36),"")</f>
        <v>34</v>
      </c>
      <c r="G44" s="66" t="str" cm="1">
        <f t="array" ref="G44">IFERROR(INDEX(_xlfn._xlws.FILTER(tbl_tasks[Status],(tbl_tasks[Project_ID]=$A$4)*IF($B$6="All",TRUE,tbl_tasks[Technology]=$B$6)),36),"")</f>
        <v>Planned</v>
      </c>
      <c r="H44" s="67" t="str">
        <f t="shared" si="7"/>
        <v/>
      </c>
      <c r="I44" s="67" t="str">
        <f t="shared" si="7"/>
        <v/>
      </c>
      <c r="J44" s="67" t="str">
        <f t="shared" si="7"/>
        <v/>
      </c>
      <c r="K44" s="67" t="str">
        <f t="shared" si="7"/>
        <v/>
      </c>
      <c r="L44" s="67" t="str">
        <f t="shared" si="7"/>
        <v/>
      </c>
      <c r="M44" s="67" t="str">
        <f t="shared" si="7"/>
        <v/>
      </c>
      <c r="N44" s="67" t="str">
        <f t="shared" si="7"/>
        <v/>
      </c>
      <c r="O44" s="67" t="str">
        <f t="shared" si="7"/>
        <v/>
      </c>
      <c r="P44" s="67" t="str">
        <f t="shared" si="7"/>
        <v/>
      </c>
      <c r="Q44" s="67" t="str">
        <f t="shared" si="7"/>
        <v/>
      </c>
      <c r="R44" s="67" t="str">
        <f t="shared" si="7"/>
        <v/>
      </c>
      <c r="S44" s="67" t="str">
        <f t="shared" si="7"/>
        <v/>
      </c>
      <c r="T44" s="67" t="str">
        <f t="shared" si="7"/>
        <v/>
      </c>
      <c r="U44" s="67" t="str">
        <f t="shared" si="7"/>
        <v/>
      </c>
      <c r="V44" s="67" t="str">
        <f t="shared" si="7"/>
        <v/>
      </c>
      <c r="W44" s="67" t="str">
        <f t="shared" si="7"/>
        <v/>
      </c>
      <c r="X44" s="67" t="str">
        <f t="shared" si="6"/>
        <v/>
      </c>
      <c r="Y44" s="67" t="str">
        <f t="shared" si="6"/>
        <v/>
      </c>
      <c r="Z44" s="67" t="str">
        <f t="shared" si="6"/>
        <v/>
      </c>
      <c r="AA44" s="67" t="str">
        <f t="shared" si="6"/>
        <v/>
      </c>
      <c r="AB44" s="67" t="str">
        <f t="shared" si="6"/>
        <v/>
      </c>
      <c r="AC44" s="67" t="str">
        <f t="shared" si="6"/>
        <v/>
      </c>
      <c r="AD44" s="67" t="str">
        <f t="shared" si="6"/>
        <v/>
      </c>
      <c r="AE44" s="67" t="str">
        <f t="shared" si="6"/>
        <v/>
      </c>
      <c r="AF44" s="67" t="str">
        <f t="shared" si="6"/>
        <v/>
      </c>
      <c r="AG44" s="67" t="str">
        <f t="shared" si="6"/>
        <v/>
      </c>
      <c r="AH44" s="67" t="str">
        <f t="shared" si="9"/>
        <v/>
      </c>
      <c r="AI44" s="67" t="str">
        <f t="shared" si="9"/>
        <v/>
      </c>
      <c r="AJ44" s="67" t="str">
        <f t="shared" si="9"/>
        <v/>
      </c>
      <c r="AK44" s="67" t="str">
        <f t="shared" si="9"/>
        <v/>
      </c>
      <c r="AL44" s="67" t="str">
        <f t="shared" si="9"/>
        <v/>
      </c>
      <c r="AM44" s="67" t="str">
        <f t="shared" si="9"/>
        <v/>
      </c>
      <c r="AN44" s="67" t="str">
        <f t="shared" si="9"/>
        <v>Multi-tech</v>
      </c>
      <c r="AO44" s="67" t="str">
        <f t="shared" si="9"/>
        <v>Multi-tech</v>
      </c>
      <c r="AP44" s="67" t="str">
        <f t="shared" si="9"/>
        <v/>
      </c>
      <c r="AQ44" s="67" t="str">
        <f t="shared" si="9"/>
        <v/>
      </c>
      <c r="AR44" s="67" t="str">
        <f t="shared" si="9"/>
        <v/>
      </c>
      <c r="AS44" s="67" t="str">
        <f t="shared" si="9"/>
        <v/>
      </c>
      <c r="AT44" s="67" t="str">
        <f t="shared" si="9"/>
        <v/>
      </c>
      <c r="AU44" s="68" t="str">
        <f t="shared" si="9"/>
        <v/>
      </c>
      <c r="AV44" s="69" t="str">
        <f t="shared" si="9"/>
        <v/>
      </c>
      <c r="AW44" s="67" t="str">
        <f t="shared" si="9"/>
        <v/>
      </c>
      <c r="AX44" s="67" t="str">
        <f t="shared" si="8"/>
        <v/>
      </c>
      <c r="AY44" s="67" t="str">
        <f t="shared" si="8"/>
        <v/>
      </c>
      <c r="AZ44" s="67" t="str">
        <f t="shared" si="8"/>
        <v/>
      </c>
      <c r="BA44" s="67" t="str">
        <f t="shared" si="4"/>
        <v/>
      </c>
      <c r="BB44" s="67" t="str">
        <f t="shared" si="4"/>
        <v/>
      </c>
      <c r="BC44" s="67" t="str">
        <f t="shared" si="4"/>
        <v/>
      </c>
    </row>
    <row r="45" spans="1:55" ht="19.95" customHeight="1" x14ac:dyDescent="0.3">
      <c r="A45" s="62" t="str" cm="1">
        <f t="array" ref="A45">IFERROR(INDEX(_xlfn._xlws.FILTER(tbl_tasks[Final_Priority],(tbl_tasks[Project_ID]=$A$4)*IF($B$6="All",TRUE,tbl_tasks[Technology]=$B$6)),37),"")</f>
        <v/>
      </c>
      <c r="B45" s="63" t="str" cm="1">
        <f t="array" ref="B45">IFERROR(INDEX(_xlfn._xlws.FILTER(tbl_tasks[Technology],(tbl_tasks[Project_ID]=$A$4)*IF($B$6="All",TRUE,tbl_tasks[Technology]=$B$6)),37),"")</f>
        <v/>
      </c>
      <c r="C45" s="63" t="str" cm="1">
        <f t="array" ref="C45">IFERROR(INDEX(_xlfn._xlws.FILTER(tbl_tasks[Task_Name],(tbl_tasks[Project_ID]=$A$4)*IF($B$6="All",TRUE,tbl_tasks[Technology]=$B$6)),37),"")</f>
        <v/>
      </c>
      <c r="D45" s="64" t="str" cm="1">
        <f t="array" ref="D45">IFERROR(INDEX(_xlfn._xlws.FILTER(tbl_tasks[Start_Date],(tbl_tasks[Project_ID]=$A$4)*IF($B$6="All",TRUE,tbl_tasks[Technology]=$B$6)),37),"")</f>
        <v/>
      </c>
      <c r="E45" s="64" t="str" cm="1">
        <f t="array" ref="E45">IFERROR(INDEX(_xlfn._xlws.FILTER(tbl_tasks[End_Date],(tbl_tasks[Project_ID]=$A$4)*IF($B$6="All",TRUE,tbl_tasks[Technology]=$B$6)),37),"")</f>
        <v/>
      </c>
      <c r="F45" s="65" t="str" cm="1">
        <f t="array" ref="F45">IFERROR(INDEX(_xlfn._xlws.FILTER(tbl_tasks[Duration],(tbl_tasks[Project_ID]=$A$4)*IF($B$6="All",TRUE,tbl_tasks[Technology]=$B$6)),37),"")</f>
        <v/>
      </c>
      <c r="G45" s="66" t="str" cm="1">
        <f t="array" ref="G45">IFERROR(INDEX(_xlfn._xlws.FILTER(tbl_tasks[Status],(tbl_tasks[Project_ID]=$A$4)*IF($B$6="All",TRUE,tbl_tasks[Technology]=$B$6)),37),"")</f>
        <v/>
      </c>
      <c r="H45" s="70" t="str">
        <f t="shared" ref="H45:Q48" si="10">IF(AND($D45&lt;&gt;"",H$7&lt;=$E45,EOMONTH(H$7,0)&gt;=$D45),$B45,"")</f>
        <v/>
      </c>
      <c r="I45" s="71" t="str">
        <f t="shared" si="10"/>
        <v/>
      </c>
      <c r="J45" s="71" t="str">
        <f t="shared" si="10"/>
        <v/>
      </c>
      <c r="K45" s="71" t="str">
        <f t="shared" si="10"/>
        <v/>
      </c>
      <c r="L45" s="71" t="str">
        <f t="shared" si="10"/>
        <v/>
      </c>
      <c r="M45" s="71" t="str">
        <f t="shared" si="10"/>
        <v/>
      </c>
      <c r="N45" s="71" t="str">
        <f t="shared" si="10"/>
        <v/>
      </c>
      <c r="O45" s="71" t="str">
        <f t="shared" si="10"/>
        <v/>
      </c>
      <c r="P45" s="71" t="str">
        <f t="shared" si="10"/>
        <v/>
      </c>
      <c r="Q45" s="71" t="str">
        <f t="shared" si="10"/>
        <v/>
      </c>
      <c r="R45" s="71" t="str">
        <f t="shared" ref="R45:AA48" si="11">IF(AND($D45&lt;&gt;"",R$7&lt;=$E45,EOMONTH(R$7,0)&gt;=$D45),$B45,"")</f>
        <v/>
      </c>
      <c r="S45" s="71" t="str">
        <f t="shared" si="11"/>
        <v/>
      </c>
      <c r="T45" s="71" t="str">
        <f t="shared" si="11"/>
        <v/>
      </c>
      <c r="U45" s="71" t="str">
        <f t="shared" si="11"/>
        <v/>
      </c>
      <c r="V45" s="71" t="str">
        <f t="shared" si="11"/>
        <v/>
      </c>
      <c r="W45" s="71" t="str">
        <f t="shared" si="11"/>
        <v/>
      </c>
      <c r="X45" s="71" t="str">
        <f t="shared" si="11"/>
        <v/>
      </c>
      <c r="Y45" s="71" t="str">
        <f t="shared" si="11"/>
        <v/>
      </c>
      <c r="Z45" s="71" t="str">
        <f t="shared" si="11"/>
        <v/>
      </c>
      <c r="AA45" s="71" t="str">
        <f t="shared" si="11"/>
        <v/>
      </c>
      <c r="AB45" s="71" t="str">
        <f t="shared" ref="AB45:AK48" si="12">IF(AND($D45&lt;&gt;"",AB$7&lt;=$E45,EOMONTH(AB$7,0)&gt;=$D45),$B45,"")</f>
        <v/>
      </c>
      <c r="AC45" s="71" t="str">
        <f t="shared" si="12"/>
        <v/>
      </c>
      <c r="AD45" s="71" t="str">
        <f t="shared" si="12"/>
        <v/>
      </c>
      <c r="AE45" s="71" t="str">
        <f t="shared" si="12"/>
        <v/>
      </c>
      <c r="AF45" s="71" t="str">
        <f t="shared" si="12"/>
        <v/>
      </c>
      <c r="AG45" s="71" t="str">
        <f t="shared" si="12"/>
        <v/>
      </c>
      <c r="AH45" s="71" t="str">
        <f t="shared" si="12"/>
        <v/>
      </c>
      <c r="AI45" s="71" t="str">
        <f t="shared" si="12"/>
        <v/>
      </c>
      <c r="AJ45" s="71" t="str">
        <f t="shared" si="12"/>
        <v/>
      </c>
      <c r="AK45" s="71" t="str">
        <f t="shared" si="12"/>
        <v/>
      </c>
      <c r="AL45" s="71" t="str">
        <f t="shared" ref="AL45:AS48" si="13">IF(AND($D45&lt;&gt;"",AL$7&lt;=$E45,EOMONTH(AL$7,0)&gt;=$D45),$B45,"")</f>
        <v/>
      </c>
      <c r="AM45" s="71" t="str">
        <f t="shared" si="13"/>
        <v/>
      </c>
      <c r="AN45" s="71" t="str">
        <f t="shared" si="13"/>
        <v/>
      </c>
      <c r="AO45" s="71" t="str">
        <f t="shared" si="13"/>
        <v/>
      </c>
      <c r="AP45" s="71" t="str">
        <f t="shared" si="13"/>
        <v/>
      </c>
      <c r="AQ45" s="71" t="str">
        <f t="shared" si="13"/>
        <v/>
      </c>
      <c r="AR45" s="71" t="str">
        <f t="shared" si="13"/>
        <v/>
      </c>
      <c r="AS45" s="71" t="str">
        <f t="shared" si="13"/>
        <v/>
      </c>
      <c r="AT45" s="19"/>
      <c r="AU45" s="19"/>
      <c r="AV45" s="19"/>
      <c r="AW45" s="19"/>
      <c r="AX45" s="19"/>
      <c r="AY45" s="19"/>
      <c r="AZ45" s="19"/>
      <c r="BA45" s="19"/>
      <c r="BB45" s="19"/>
      <c r="BC45" s="19"/>
    </row>
    <row r="46" spans="1:55" ht="19.95" customHeight="1" x14ac:dyDescent="0.3">
      <c r="A46" s="62" t="str" cm="1">
        <f t="array" ref="A46">IFERROR(INDEX(_xlfn._xlws.FILTER(tbl_tasks[Final_Priority],(tbl_tasks[Project_ID]=$A$4)*IF($B$6="All",TRUE,tbl_tasks[Technology]=$B$6)),38),"")</f>
        <v/>
      </c>
      <c r="B46" s="63" t="str" cm="1">
        <f t="array" ref="B46">IFERROR(INDEX(_xlfn._xlws.FILTER(tbl_tasks[Technology],(tbl_tasks[Project_ID]=$A$4)*IF($B$6="All",TRUE,tbl_tasks[Technology]=$B$6)),38),"")</f>
        <v/>
      </c>
      <c r="C46" s="63" t="str" cm="1">
        <f t="array" ref="C46">IFERROR(INDEX(_xlfn._xlws.FILTER(tbl_tasks[Task_Name],(tbl_tasks[Project_ID]=$A$4)*IF($B$6="All",TRUE,tbl_tasks[Technology]=$B$6)),38),"")</f>
        <v/>
      </c>
      <c r="D46" s="64" t="str" cm="1">
        <f t="array" ref="D46">IFERROR(INDEX(_xlfn._xlws.FILTER(tbl_tasks[Start_Date],(tbl_tasks[Project_ID]=$A$4)*IF($B$6="All",TRUE,tbl_tasks[Technology]=$B$6)),38),"")</f>
        <v/>
      </c>
      <c r="E46" s="64" t="str" cm="1">
        <f t="array" ref="E46">IFERROR(INDEX(_xlfn._xlws.FILTER(tbl_tasks[End_Date],(tbl_tasks[Project_ID]=$A$4)*IF($B$6="All",TRUE,tbl_tasks[Technology]=$B$6)),38),"")</f>
        <v/>
      </c>
      <c r="F46" s="65" t="str" cm="1">
        <f t="array" ref="F46">IFERROR(INDEX(_xlfn._xlws.FILTER(tbl_tasks[Duration],(tbl_tasks[Project_ID]=$A$4)*IF($B$6="All",TRUE,tbl_tasks[Technology]=$B$6)),38),"")</f>
        <v/>
      </c>
      <c r="G46" s="66" t="str" cm="1">
        <f t="array" ref="G46">IFERROR(INDEX(_xlfn._xlws.FILTER(tbl_tasks[Status],(tbl_tasks[Project_ID]=$A$4)*IF($B$6="All",TRUE,tbl_tasks[Technology]=$B$6)),38),"")</f>
        <v/>
      </c>
      <c r="H46" s="70" t="str">
        <f t="shared" si="10"/>
        <v/>
      </c>
      <c r="I46" s="71" t="str">
        <f t="shared" si="10"/>
        <v/>
      </c>
      <c r="J46" s="71" t="str">
        <f t="shared" si="10"/>
        <v/>
      </c>
      <c r="K46" s="71" t="str">
        <f t="shared" si="10"/>
        <v/>
      </c>
      <c r="L46" s="71" t="str">
        <f t="shared" si="10"/>
        <v/>
      </c>
      <c r="M46" s="71" t="str">
        <f t="shared" si="10"/>
        <v/>
      </c>
      <c r="N46" s="71" t="str">
        <f t="shared" si="10"/>
        <v/>
      </c>
      <c r="O46" s="71" t="str">
        <f t="shared" si="10"/>
        <v/>
      </c>
      <c r="P46" s="71" t="str">
        <f t="shared" si="10"/>
        <v/>
      </c>
      <c r="Q46" s="71" t="str">
        <f t="shared" si="10"/>
        <v/>
      </c>
      <c r="R46" s="71" t="str">
        <f t="shared" si="11"/>
        <v/>
      </c>
      <c r="S46" s="71" t="str">
        <f t="shared" si="11"/>
        <v/>
      </c>
      <c r="T46" s="71" t="str">
        <f t="shared" si="11"/>
        <v/>
      </c>
      <c r="U46" s="71" t="str">
        <f t="shared" si="11"/>
        <v/>
      </c>
      <c r="V46" s="71" t="str">
        <f t="shared" si="11"/>
        <v/>
      </c>
      <c r="W46" s="71" t="str">
        <f t="shared" si="11"/>
        <v/>
      </c>
      <c r="X46" s="71" t="str">
        <f t="shared" si="11"/>
        <v/>
      </c>
      <c r="Y46" s="71" t="str">
        <f t="shared" si="11"/>
        <v/>
      </c>
      <c r="Z46" s="71" t="str">
        <f t="shared" si="11"/>
        <v/>
      </c>
      <c r="AA46" s="71" t="str">
        <f t="shared" si="11"/>
        <v/>
      </c>
      <c r="AB46" s="71" t="str">
        <f t="shared" si="12"/>
        <v/>
      </c>
      <c r="AC46" s="71" t="str">
        <f t="shared" si="12"/>
        <v/>
      </c>
      <c r="AD46" s="71" t="str">
        <f t="shared" si="12"/>
        <v/>
      </c>
      <c r="AE46" s="71" t="str">
        <f t="shared" si="12"/>
        <v/>
      </c>
      <c r="AF46" s="71" t="str">
        <f t="shared" si="12"/>
        <v/>
      </c>
      <c r="AG46" s="71" t="str">
        <f t="shared" si="12"/>
        <v/>
      </c>
      <c r="AH46" s="71" t="str">
        <f t="shared" si="12"/>
        <v/>
      </c>
      <c r="AI46" s="71" t="str">
        <f t="shared" si="12"/>
        <v/>
      </c>
      <c r="AJ46" s="71" t="str">
        <f t="shared" si="12"/>
        <v/>
      </c>
      <c r="AK46" s="71" t="str">
        <f t="shared" si="12"/>
        <v/>
      </c>
      <c r="AL46" s="71" t="str">
        <f t="shared" si="13"/>
        <v/>
      </c>
      <c r="AM46" s="71" t="str">
        <f t="shared" si="13"/>
        <v/>
      </c>
      <c r="AN46" s="71" t="str">
        <f t="shared" si="13"/>
        <v/>
      </c>
      <c r="AO46" s="71" t="str">
        <f t="shared" si="13"/>
        <v/>
      </c>
      <c r="AP46" s="71" t="str">
        <f t="shared" si="13"/>
        <v/>
      </c>
      <c r="AQ46" s="71" t="str">
        <f t="shared" si="13"/>
        <v/>
      </c>
      <c r="AR46" s="71" t="str">
        <f t="shared" si="13"/>
        <v/>
      </c>
      <c r="AS46" s="71" t="str">
        <f t="shared" si="13"/>
        <v/>
      </c>
      <c r="AT46" s="19"/>
      <c r="AU46" s="19"/>
      <c r="AV46" s="19"/>
      <c r="AW46" s="19"/>
      <c r="AX46" s="19"/>
      <c r="AY46" s="19"/>
      <c r="AZ46" s="19"/>
      <c r="BA46" s="19"/>
      <c r="BB46" s="19"/>
      <c r="BC46" s="19"/>
    </row>
    <row r="47" spans="1:55" ht="19.95" customHeight="1" x14ac:dyDescent="0.3">
      <c r="A47" s="62" t="str" cm="1">
        <f t="array" ref="A47">IFERROR(INDEX(_xlfn._xlws.FILTER(tbl_tasks[Final_Priority],(tbl_tasks[Project_ID]=$A$4)*IF($B$6="All",TRUE,tbl_tasks[Technology]=$B$6)),39),"")</f>
        <v/>
      </c>
      <c r="B47" s="63" t="str" cm="1">
        <f t="array" ref="B47">IFERROR(INDEX(_xlfn._xlws.FILTER(tbl_tasks[Technology],(tbl_tasks[Project_ID]=$A$4)*IF($B$6="All",TRUE,tbl_tasks[Technology]=$B$6)),39),"")</f>
        <v/>
      </c>
      <c r="C47" s="63" t="str" cm="1">
        <f t="array" ref="C47">IFERROR(INDEX(_xlfn._xlws.FILTER(tbl_tasks[Task_Name],(tbl_tasks[Project_ID]=$A$4)*IF($B$6="All",TRUE,tbl_tasks[Technology]=$B$6)),39),"")</f>
        <v/>
      </c>
      <c r="D47" s="64" t="str" cm="1">
        <f t="array" ref="D47">IFERROR(INDEX(_xlfn._xlws.FILTER(tbl_tasks[Start_Date],(tbl_tasks[Project_ID]=$A$4)*IF($B$6="All",TRUE,tbl_tasks[Technology]=$B$6)),39),"")</f>
        <v/>
      </c>
      <c r="E47" s="64" t="str" cm="1">
        <f t="array" ref="E47">IFERROR(INDEX(_xlfn._xlws.FILTER(tbl_tasks[End_Date],(tbl_tasks[Project_ID]=$A$4)*IF($B$6="All",TRUE,tbl_tasks[Technology]=$B$6)),39),"")</f>
        <v/>
      </c>
      <c r="F47" s="65" t="str" cm="1">
        <f t="array" ref="F47">IFERROR(INDEX(_xlfn._xlws.FILTER(tbl_tasks[Duration],(tbl_tasks[Project_ID]=$A$4)*IF($B$6="All",TRUE,tbl_tasks[Technology]=$B$6)),39),"")</f>
        <v/>
      </c>
      <c r="G47" s="66" t="str" cm="1">
        <f t="array" ref="G47">IFERROR(INDEX(_xlfn._xlws.FILTER(tbl_tasks[Status],(tbl_tasks[Project_ID]=$A$4)*IF($B$6="All",TRUE,tbl_tasks[Technology]=$B$6)),39),"")</f>
        <v/>
      </c>
      <c r="H47" s="70" t="str">
        <f t="shared" si="10"/>
        <v/>
      </c>
      <c r="I47" s="71" t="str">
        <f t="shared" si="10"/>
        <v/>
      </c>
      <c r="J47" s="71" t="str">
        <f t="shared" si="10"/>
        <v/>
      </c>
      <c r="K47" s="71" t="str">
        <f t="shared" si="10"/>
        <v/>
      </c>
      <c r="L47" s="71" t="str">
        <f t="shared" si="10"/>
        <v/>
      </c>
      <c r="M47" s="71" t="str">
        <f t="shared" si="10"/>
        <v/>
      </c>
      <c r="N47" s="71" t="str">
        <f t="shared" si="10"/>
        <v/>
      </c>
      <c r="O47" s="71" t="str">
        <f t="shared" si="10"/>
        <v/>
      </c>
      <c r="P47" s="71" t="str">
        <f t="shared" si="10"/>
        <v/>
      </c>
      <c r="Q47" s="71" t="str">
        <f t="shared" si="10"/>
        <v/>
      </c>
      <c r="R47" s="71" t="str">
        <f t="shared" si="11"/>
        <v/>
      </c>
      <c r="S47" s="71" t="str">
        <f t="shared" si="11"/>
        <v/>
      </c>
      <c r="T47" s="71" t="str">
        <f t="shared" si="11"/>
        <v/>
      </c>
      <c r="U47" s="71" t="str">
        <f t="shared" si="11"/>
        <v/>
      </c>
      <c r="V47" s="71" t="str">
        <f t="shared" si="11"/>
        <v/>
      </c>
      <c r="W47" s="71" t="str">
        <f t="shared" si="11"/>
        <v/>
      </c>
      <c r="X47" s="71" t="str">
        <f t="shared" si="11"/>
        <v/>
      </c>
      <c r="Y47" s="71" t="str">
        <f t="shared" si="11"/>
        <v/>
      </c>
      <c r="Z47" s="71" t="str">
        <f t="shared" si="11"/>
        <v/>
      </c>
      <c r="AA47" s="71" t="str">
        <f t="shared" si="11"/>
        <v/>
      </c>
      <c r="AB47" s="71" t="str">
        <f t="shared" si="12"/>
        <v/>
      </c>
      <c r="AC47" s="71" t="str">
        <f t="shared" si="12"/>
        <v/>
      </c>
      <c r="AD47" s="71" t="str">
        <f t="shared" si="12"/>
        <v/>
      </c>
      <c r="AE47" s="71" t="str">
        <f t="shared" si="12"/>
        <v/>
      </c>
      <c r="AF47" s="71" t="str">
        <f t="shared" si="12"/>
        <v/>
      </c>
      <c r="AG47" s="71" t="str">
        <f t="shared" si="12"/>
        <v/>
      </c>
      <c r="AH47" s="71" t="str">
        <f t="shared" si="12"/>
        <v/>
      </c>
      <c r="AI47" s="71" t="str">
        <f t="shared" si="12"/>
        <v/>
      </c>
      <c r="AJ47" s="71" t="str">
        <f t="shared" si="12"/>
        <v/>
      </c>
      <c r="AK47" s="71" t="str">
        <f t="shared" si="12"/>
        <v/>
      </c>
      <c r="AL47" s="71" t="str">
        <f t="shared" si="13"/>
        <v/>
      </c>
      <c r="AM47" s="71" t="str">
        <f t="shared" si="13"/>
        <v/>
      </c>
      <c r="AN47" s="71" t="str">
        <f t="shared" si="13"/>
        <v/>
      </c>
      <c r="AO47" s="71" t="str">
        <f t="shared" si="13"/>
        <v/>
      </c>
      <c r="AP47" s="71" t="str">
        <f t="shared" si="13"/>
        <v/>
      </c>
      <c r="AQ47" s="71" t="str">
        <f t="shared" si="13"/>
        <v/>
      </c>
      <c r="AR47" s="71" t="str">
        <f t="shared" si="13"/>
        <v/>
      </c>
      <c r="AS47" s="71" t="str">
        <f t="shared" si="13"/>
        <v/>
      </c>
      <c r="AT47" s="19"/>
      <c r="AU47" s="19"/>
      <c r="AV47" s="19"/>
      <c r="AW47" s="19"/>
      <c r="AX47" s="19"/>
      <c r="AY47" s="19"/>
      <c r="AZ47" s="19"/>
      <c r="BA47" s="19"/>
      <c r="BB47" s="19"/>
      <c r="BC47" s="19"/>
    </row>
    <row r="48" spans="1:55" ht="19.95" customHeight="1" x14ac:dyDescent="0.3">
      <c r="A48" s="72" t="str" cm="1">
        <f t="array" ref="A48">IFERROR(INDEX(_xlfn._xlws.FILTER(tbl_tasks[Final_Priority],(tbl_tasks[Project_ID]=$A$4)*IF($B$6="All",TRUE,tbl_tasks[Technology]=$B$6)),40),"")</f>
        <v/>
      </c>
      <c r="B48" s="73" t="str" cm="1">
        <f t="array" ref="B48">IFERROR(INDEX(_xlfn._xlws.FILTER(tbl_tasks[Technology],(tbl_tasks[Project_ID]=$A$4)*IF($B$6="All",TRUE,tbl_tasks[Technology]=$B$6)),40),"")</f>
        <v/>
      </c>
      <c r="C48" s="73" t="str" cm="1">
        <f t="array" ref="C48">IFERROR(INDEX(_xlfn._xlws.FILTER(tbl_tasks[Task_Name],(tbl_tasks[Project_ID]=$A$4)*IF($B$6="All",TRUE,tbl_tasks[Technology]=$B$6)),40),"")</f>
        <v/>
      </c>
      <c r="D48" s="74" t="str" cm="1">
        <f t="array" ref="D48">IFERROR(INDEX(_xlfn._xlws.FILTER(tbl_tasks[Start_Date],(tbl_tasks[Project_ID]=$A$4)*IF($B$6="All",TRUE,tbl_tasks[Technology]=$B$6)),40),"")</f>
        <v/>
      </c>
      <c r="E48" s="74" t="str" cm="1">
        <f t="array" ref="E48">IFERROR(INDEX(_xlfn._xlws.FILTER(tbl_tasks[End_Date],(tbl_tasks[Project_ID]=$A$4)*IF($B$6="All",TRUE,tbl_tasks[Technology]=$B$6)),40),"")</f>
        <v/>
      </c>
      <c r="F48" s="75" t="str" cm="1">
        <f t="array" ref="F48">IFERROR(INDEX(_xlfn._xlws.FILTER(tbl_tasks[Duration],(tbl_tasks[Project_ID]=$A$4)*IF($B$6="All",TRUE,tbl_tasks[Technology]=$B$6)),40),"")</f>
        <v/>
      </c>
      <c r="G48" s="76" t="str" cm="1">
        <f t="array" ref="G48">IFERROR(INDEX(_xlfn._xlws.FILTER(tbl_tasks[Status],(tbl_tasks[Project_ID]=$A$4)*IF($B$6="All",TRUE,tbl_tasks[Technology]=$B$6)),40),"")</f>
        <v/>
      </c>
      <c r="H48" s="77" t="str">
        <f t="shared" si="10"/>
        <v/>
      </c>
      <c r="I48" s="78" t="str">
        <f t="shared" si="10"/>
        <v/>
      </c>
      <c r="J48" s="78" t="str">
        <f t="shared" si="10"/>
        <v/>
      </c>
      <c r="K48" s="78" t="str">
        <f t="shared" si="10"/>
        <v/>
      </c>
      <c r="L48" s="78" t="str">
        <f t="shared" si="10"/>
        <v/>
      </c>
      <c r="M48" s="78" t="str">
        <f t="shared" si="10"/>
        <v/>
      </c>
      <c r="N48" s="78" t="str">
        <f t="shared" si="10"/>
        <v/>
      </c>
      <c r="O48" s="78" t="str">
        <f t="shared" si="10"/>
        <v/>
      </c>
      <c r="P48" s="78" t="str">
        <f t="shared" si="10"/>
        <v/>
      </c>
      <c r="Q48" s="78" t="str">
        <f t="shared" si="10"/>
        <v/>
      </c>
      <c r="R48" s="78" t="str">
        <f t="shared" si="11"/>
        <v/>
      </c>
      <c r="S48" s="78" t="str">
        <f t="shared" si="11"/>
        <v/>
      </c>
      <c r="T48" s="78" t="str">
        <f t="shared" si="11"/>
        <v/>
      </c>
      <c r="U48" s="78" t="str">
        <f t="shared" si="11"/>
        <v/>
      </c>
      <c r="V48" s="78" t="str">
        <f t="shared" si="11"/>
        <v/>
      </c>
      <c r="W48" s="78" t="str">
        <f t="shared" si="11"/>
        <v/>
      </c>
      <c r="X48" s="78" t="str">
        <f t="shared" si="11"/>
        <v/>
      </c>
      <c r="Y48" s="78" t="str">
        <f t="shared" si="11"/>
        <v/>
      </c>
      <c r="Z48" s="78" t="str">
        <f t="shared" si="11"/>
        <v/>
      </c>
      <c r="AA48" s="78" t="str">
        <f t="shared" si="11"/>
        <v/>
      </c>
      <c r="AB48" s="78" t="str">
        <f t="shared" si="12"/>
        <v/>
      </c>
      <c r="AC48" s="78" t="str">
        <f t="shared" si="12"/>
        <v/>
      </c>
      <c r="AD48" s="78" t="str">
        <f t="shared" si="12"/>
        <v/>
      </c>
      <c r="AE48" s="78" t="str">
        <f t="shared" si="12"/>
        <v/>
      </c>
      <c r="AF48" s="78" t="str">
        <f t="shared" si="12"/>
        <v/>
      </c>
      <c r="AG48" s="78" t="str">
        <f t="shared" si="12"/>
        <v/>
      </c>
      <c r="AH48" s="78" t="str">
        <f t="shared" si="12"/>
        <v/>
      </c>
      <c r="AI48" s="78" t="str">
        <f t="shared" si="12"/>
        <v/>
      </c>
      <c r="AJ48" s="78" t="str">
        <f t="shared" si="12"/>
        <v/>
      </c>
      <c r="AK48" s="78" t="str">
        <f t="shared" si="12"/>
        <v/>
      </c>
      <c r="AL48" s="78" t="str">
        <f t="shared" si="13"/>
        <v/>
      </c>
      <c r="AM48" s="78" t="str">
        <f t="shared" si="13"/>
        <v/>
      </c>
      <c r="AN48" s="78" t="str">
        <f t="shared" si="13"/>
        <v/>
      </c>
      <c r="AO48" s="78" t="str">
        <f t="shared" si="13"/>
        <v/>
      </c>
      <c r="AP48" s="78" t="str">
        <f t="shared" si="13"/>
        <v/>
      </c>
      <c r="AQ48" s="78" t="str">
        <f t="shared" si="13"/>
        <v/>
      </c>
      <c r="AR48" s="78" t="str">
        <f t="shared" si="13"/>
        <v/>
      </c>
      <c r="AS48" s="78" t="str">
        <f t="shared" si="13"/>
        <v/>
      </c>
      <c r="AT48" s="19"/>
      <c r="AU48" s="19"/>
      <c r="AV48" s="19"/>
      <c r="AW48" s="19"/>
      <c r="AX48" s="19"/>
      <c r="AY48" s="19"/>
      <c r="AZ48" s="19"/>
      <c r="BA48" s="19"/>
      <c r="BB48" s="19"/>
      <c r="BC48" s="19"/>
    </row>
  </sheetData>
  <sheetProtection algorithmName="SHA-512" hashValue="OgG+w/yM+ouh1zZaxzmb/yi1qauWbRtKMNfN3XqC4dnfM1uwRtRfv/6ksGOgMJur6KUjYy7dPtHJXEkCKEUCjw==" saltValue="IRiyJlU/NCxIgG5MJzjieA==" spinCount="100000" sheet="1" sort="0" autoFilter="0"/>
  <mergeCells count="1">
    <mergeCell ref="A1:C1"/>
  </mergeCells>
  <conditionalFormatting sqref="B9:B48">
    <cfRule type="containsText" dxfId="29" priority="11" operator="containsText" text="Multi-tech">
      <formula>NOT(ISERROR(SEARCH("Multi-tech",B9)))</formula>
    </cfRule>
  </conditionalFormatting>
  <conditionalFormatting sqref="B9:B48">
    <cfRule type="containsText" dxfId="28" priority="12" operator="containsText" text="Solar">
      <formula>NOT(ISERROR(SEARCH("Solar",B9)))</formula>
    </cfRule>
  </conditionalFormatting>
  <conditionalFormatting sqref="B9:B48">
    <cfRule type="containsText" dxfId="27" priority="13" operator="containsText" text="Wind">
      <formula>NOT(ISERROR(SEARCH("Wind",B9)))</formula>
    </cfRule>
  </conditionalFormatting>
  <conditionalFormatting sqref="B9:B48">
    <cfRule type="containsText" dxfId="26" priority="14" operator="containsText" text="Green Hydrogen">
      <formula>NOT(ISERROR(SEARCH("Green Hydrogen",B9)))</formula>
    </cfRule>
  </conditionalFormatting>
  <conditionalFormatting sqref="B9:B48">
    <cfRule type="containsText" dxfId="25" priority="15" operator="containsText" text="Storage">
      <formula>NOT(ISERROR(SEARCH("Storage",B9)))</formula>
    </cfRule>
  </conditionalFormatting>
  <conditionalFormatting sqref="I4">
    <cfRule type="containsText" dxfId="24" priority="16" operator="containsText" text="High">
      <formula>NOT(ISERROR(SEARCH("High",I4)))</formula>
    </cfRule>
  </conditionalFormatting>
  <conditionalFormatting sqref="I4">
    <cfRule type="containsText" dxfId="23" priority="17" operator="containsText" text="Medium">
      <formula>NOT(ISERROR(SEARCH("Medium",I4)))</formula>
    </cfRule>
  </conditionalFormatting>
  <conditionalFormatting sqref="I4">
    <cfRule type="containsText" dxfId="22" priority="18" operator="containsText" text="Low">
      <formula>NOT(ISERROR(SEARCH("Low",I4)))</formula>
    </cfRule>
  </conditionalFormatting>
  <conditionalFormatting sqref="H9:BC44">
    <cfRule type="containsText" dxfId="21" priority="19" operator="containsText" text="Multi-tech">
      <formula>NOT(ISERROR(SEARCH("Multi-tech",H9)))</formula>
    </cfRule>
  </conditionalFormatting>
  <conditionalFormatting sqref="H9:BC44">
    <cfRule type="containsText" dxfId="20" priority="20" operator="containsText" text="Solar">
      <formula>NOT(ISERROR(SEARCH("Solar",H9)))</formula>
    </cfRule>
  </conditionalFormatting>
  <conditionalFormatting sqref="H9:BC44">
    <cfRule type="containsText" dxfId="19" priority="21" operator="containsText" text="Wind">
      <formula>NOT(ISERROR(SEARCH("Wind",H9)))</formula>
    </cfRule>
  </conditionalFormatting>
  <conditionalFormatting sqref="H9:BC44">
    <cfRule type="containsText" dxfId="18" priority="22" operator="containsText" text="Green Hydrogen">
      <formula>NOT(ISERROR(SEARCH("Green Hydrogen",H9)))</formula>
    </cfRule>
  </conditionalFormatting>
  <conditionalFormatting sqref="H9:BC44">
    <cfRule type="containsText" dxfId="17" priority="23" operator="containsText" text="Storage">
      <formula>NOT(ISERROR(SEARCH("Storage",H9)))</formula>
    </cfRule>
  </conditionalFormatting>
  <conditionalFormatting sqref="G9:G44">
    <cfRule type="containsText" dxfId="16" priority="24" operator="containsText" text="Completed">
      <formula>NOT(ISERROR(SEARCH("Completed",G9)))</formula>
    </cfRule>
  </conditionalFormatting>
  <conditionalFormatting sqref="G9:G44">
    <cfRule type="containsText" dxfId="15" priority="25" operator="containsText" text="In Progress">
      <formula>NOT(ISERROR(SEARCH("In Progress",G9)))</formula>
    </cfRule>
  </conditionalFormatting>
  <conditionalFormatting sqref="G9:G44">
    <cfRule type="containsText" dxfId="14" priority="26" operator="containsText" text="Planned">
      <formula>NOT(ISERROR(SEARCH("Planned",G9)))</formula>
    </cfRule>
  </conditionalFormatting>
  <dataValidations count="1">
    <dataValidation type="list" allowBlank="1" showInputMessage="1" showErrorMessage="1" sqref="B6" xr:uid="{0039C583-C17D-4843-B526-9C32843E0EA5}">
      <formula1>"All,Multi-tech,Solar,Wind,Green Hydrogen,Storage"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AF00ECC-5810-435E-B606-54F0DE19E55A}">
          <x14:formula1>
            <xm:f>Projects_Data!$A$2:$A$13</xm:f>
          </x14:formula1>
          <xm:sqref>A4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52E84-441E-4293-894D-D50F32C678A4}">
  <sheetPr codeName="Sheet5">
    <pageSetUpPr fitToPage="1"/>
  </sheetPr>
  <dimension ref="A1:O47"/>
  <sheetViews>
    <sheetView showGridLines="0" showRowColHeaders="0" topLeftCell="H1" zoomScale="85" zoomScaleNormal="85" workbookViewId="0">
      <selection activeCell="I3" sqref="I3"/>
    </sheetView>
  </sheetViews>
  <sheetFormatPr defaultRowHeight="14.4" x14ac:dyDescent="0.3"/>
  <cols>
    <col min="1" max="1" width="10.21875" style="1" hidden="1" customWidth="1"/>
    <col min="2" max="3" width="40.77734375" style="1" hidden="1" customWidth="1"/>
    <col min="4" max="4" width="21.6640625" style="1" hidden="1" customWidth="1"/>
    <col min="5" max="5" width="15.21875" style="1" hidden="1" customWidth="1"/>
    <col min="6" max="7" width="0" style="1" hidden="1" customWidth="1"/>
    <col min="8" max="8" width="33.33203125" style="1" bestFit="1" customWidth="1"/>
    <col min="9" max="9" width="40.77734375" style="1" bestFit="1" customWidth="1"/>
    <col min="10" max="10" width="8.88671875" style="1"/>
    <col min="11" max="11" width="14.44140625" style="1" bestFit="1" customWidth="1"/>
    <col min="12" max="12" width="32.5546875" style="1" bestFit="1" customWidth="1"/>
    <col min="13" max="13" width="14.6640625" style="1" bestFit="1" customWidth="1"/>
    <col min="14" max="14" width="17" style="1" customWidth="1"/>
    <col min="15" max="15" width="14.21875" style="1" bestFit="1" customWidth="1"/>
    <col min="16" max="16" width="8.88671875" style="1"/>
    <col min="17" max="17" width="55.5546875" style="1" customWidth="1"/>
    <col min="18" max="16384" width="8.88671875" style="1"/>
  </cols>
  <sheetData>
    <row r="1" spans="1:15" ht="18" x14ac:dyDescent="0.3">
      <c r="A1" s="25" t="s">
        <v>2</v>
      </c>
      <c r="B1" s="25" t="s">
        <v>3</v>
      </c>
      <c r="C1" s="25" t="s">
        <v>4</v>
      </c>
      <c r="D1" s="25" t="s">
        <v>16</v>
      </c>
      <c r="E1" s="25" t="s">
        <v>15</v>
      </c>
      <c r="F1" s="19"/>
      <c r="G1" s="19"/>
      <c r="H1" s="26" t="s">
        <v>465</v>
      </c>
      <c r="I1" s="26"/>
      <c r="J1" s="26"/>
      <c r="K1" s="26"/>
      <c r="L1" s="26"/>
      <c r="M1" s="26"/>
      <c r="N1" s="26"/>
      <c r="O1" s="26"/>
    </row>
    <row r="2" spans="1:15" x14ac:dyDescent="0.3">
      <c r="A2" s="27" t="s">
        <v>42</v>
      </c>
      <c r="B2" s="27" t="s">
        <v>17</v>
      </c>
      <c r="C2" s="28" t="s">
        <v>24</v>
      </c>
      <c r="D2" s="27" t="s">
        <v>27</v>
      </c>
      <c r="E2" s="27" t="s">
        <v>49</v>
      </c>
      <c r="F2" s="19"/>
      <c r="G2" s="19"/>
      <c r="H2" s="19"/>
      <c r="I2" s="19"/>
      <c r="J2" s="19"/>
      <c r="K2" s="29" t="s">
        <v>449</v>
      </c>
      <c r="L2" s="29" t="s">
        <v>31</v>
      </c>
      <c r="M2" s="29" t="s">
        <v>450</v>
      </c>
      <c r="N2" s="29" t="s">
        <v>437</v>
      </c>
      <c r="O2" s="29" t="s">
        <v>451</v>
      </c>
    </row>
    <row r="3" spans="1:15" x14ac:dyDescent="0.3">
      <c r="A3" s="27" t="s">
        <v>46</v>
      </c>
      <c r="B3" s="27" t="s">
        <v>18</v>
      </c>
      <c r="C3" s="28" t="s">
        <v>25</v>
      </c>
      <c r="D3" s="27" t="s">
        <v>28</v>
      </c>
      <c r="E3" s="27" t="s">
        <v>52</v>
      </c>
      <c r="F3" s="19"/>
      <c r="G3" s="19"/>
      <c r="H3" s="30" t="s">
        <v>466</v>
      </c>
      <c r="I3" s="39" t="s">
        <v>77</v>
      </c>
      <c r="J3" s="19"/>
      <c r="K3" s="19" t="s">
        <v>439</v>
      </c>
      <c r="L3" s="19" t="s">
        <v>56</v>
      </c>
      <c r="M3" s="19">
        <v>1</v>
      </c>
      <c r="N3" s="19" t="s">
        <v>452</v>
      </c>
      <c r="O3" s="19">
        <v>1</v>
      </c>
    </row>
    <row r="4" spans="1:15" x14ac:dyDescent="0.3">
      <c r="A4" s="27" t="s">
        <v>45</v>
      </c>
      <c r="B4" s="27" t="s">
        <v>19</v>
      </c>
      <c r="C4" s="28" t="s">
        <v>26</v>
      </c>
      <c r="D4" s="27" t="s">
        <v>29</v>
      </c>
      <c r="E4" s="27" t="s">
        <v>50</v>
      </c>
      <c r="F4" s="19"/>
      <c r="G4" s="19"/>
      <c r="H4" s="19"/>
      <c r="I4" s="19"/>
      <c r="J4" s="19"/>
      <c r="K4" s="19" t="s">
        <v>439</v>
      </c>
      <c r="L4" s="19" t="s">
        <v>62</v>
      </c>
      <c r="M4" s="19">
        <v>2</v>
      </c>
      <c r="N4" s="19" t="s">
        <v>452</v>
      </c>
      <c r="O4" s="19">
        <v>2</v>
      </c>
    </row>
    <row r="5" spans="1:15" x14ac:dyDescent="0.3">
      <c r="A5" s="27" t="s">
        <v>41</v>
      </c>
      <c r="B5" s="27" t="s">
        <v>20</v>
      </c>
      <c r="C5" s="19"/>
      <c r="D5" s="19"/>
      <c r="E5" s="31" t="s">
        <v>53</v>
      </c>
      <c r="F5" s="19"/>
      <c r="G5" s="19"/>
      <c r="H5" s="30" t="s">
        <v>467</v>
      </c>
      <c r="I5" s="19" t="str">
        <f>_xlfn.XLOOKUP(I3,tbl_projects[Project_ID],tbl_projects[Project_Name],"Not found")</f>
        <v>Blue Sky Initiative</v>
      </c>
      <c r="J5" s="19"/>
      <c r="K5" s="19" t="s">
        <v>439</v>
      </c>
      <c r="L5" s="19" t="s">
        <v>63</v>
      </c>
      <c r="M5" s="19">
        <v>3</v>
      </c>
      <c r="N5" s="19" t="s">
        <v>452</v>
      </c>
      <c r="O5" s="19">
        <v>3</v>
      </c>
    </row>
    <row r="6" spans="1:15" x14ac:dyDescent="0.3">
      <c r="A6" s="27" t="s">
        <v>44</v>
      </c>
      <c r="B6" s="27" t="s">
        <v>21</v>
      </c>
      <c r="C6" s="19"/>
      <c r="D6" s="19"/>
      <c r="E6" s="27" t="s">
        <v>51</v>
      </c>
      <c r="F6" s="19"/>
      <c r="G6" s="19"/>
      <c r="H6" s="19" t="s">
        <v>440</v>
      </c>
      <c r="I6" s="19" t="str">
        <f>_xlfn.XLOOKUP(I3,tbl_projects[Project_ID],tbl_projects[Technology],"")</f>
        <v>Hybrid (Solar + Wind + Green Hydrogen + Storage)</v>
      </c>
      <c r="J6" s="19"/>
      <c r="K6" s="19" t="s">
        <v>439</v>
      </c>
      <c r="L6" s="19" t="s">
        <v>438</v>
      </c>
      <c r="M6" s="19">
        <v>4</v>
      </c>
      <c r="N6" s="19" t="s">
        <v>452</v>
      </c>
      <c r="O6" s="19">
        <v>4</v>
      </c>
    </row>
    <row r="7" spans="1:15" x14ac:dyDescent="0.3">
      <c r="A7" s="19"/>
      <c r="B7" s="32" t="s">
        <v>22</v>
      </c>
      <c r="C7" s="19"/>
      <c r="D7" s="19"/>
      <c r="E7" s="27" t="s">
        <v>54</v>
      </c>
      <c r="F7" s="19"/>
      <c r="G7" s="19"/>
      <c r="H7" s="19" t="s">
        <v>441</v>
      </c>
      <c r="I7" s="22">
        <f>_xlfn.XLOOKUP(I3,tbl_projects[Project_ID],tbl_projects[Start_Date],"")</f>
        <v>44946</v>
      </c>
      <c r="J7" s="19"/>
      <c r="K7" s="19" t="s">
        <v>439</v>
      </c>
      <c r="L7" s="19" t="s">
        <v>33</v>
      </c>
      <c r="M7" s="19">
        <v>5</v>
      </c>
      <c r="N7" s="19" t="s">
        <v>452</v>
      </c>
      <c r="O7" s="19">
        <v>5</v>
      </c>
    </row>
    <row r="8" spans="1:15" x14ac:dyDescent="0.3">
      <c r="A8" s="19"/>
      <c r="B8" s="27" t="s">
        <v>23</v>
      </c>
      <c r="C8" s="19"/>
      <c r="D8" s="19"/>
      <c r="E8" s="19"/>
      <c r="F8" s="19"/>
      <c r="G8" s="19"/>
      <c r="H8" s="19" t="s">
        <v>442</v>
      </c>
      <c r="I8" s="22">
        <f>_xlfn.XLOOKUP(I3,tbl_projects[Project_ID],tbl_projects[End_Date],"")</f>
        <v>45952</v>
      </c>
      <c r="J8" s="19"/>
      <c r="K8" s="19" t="s">
        <v>439</v>
      </c>
      <c r="L8" s="19" t="s">
        <v>34</v>
      </c>
      <c r="M8" s="19">
        <v>6</v>
      </c>
      <c r="N8" s="19" t="s">
        <v>452</v>
      </c>
      <c r="O8" s="19">
        <v>6</v>
      </c>
    </row>
    <row r="9" spans="1:15" x14ac:dyDescent="0.3">
      <c r="A9" s="19"/>
      <c r="B9" s="27" t="s">
        <v>37</v>
      </c>
      <c r="C9" s="19"/>
      <c r="D9" s="19"/>
      <c r="E9" s="19"/>
      <c r="F9" s="19"/>
      <c r="G9" s="19"/>
      <c r="H9" s="19" t="s">
        <v>443</v>
      </c>
      <c r="I9" s="19">
        <f>I8-I7</f>
        <v>1006</v>
      </c>
      <c r="J9" s="19"/>
      <c r="K9" s="19" t="s">
        <v>439</v>
      </c>
      <c r="L9" s="19" t="s">
        <v>68</v>
      </c>
      <c r="M9" s="19">
        <v>7</v>
      </c>
      <c r="N9" s="19" t="s">
        <v>452</v>
      </c>
      <c r="O9" s="19">
        <v>7</v>
      </c>
    </row>
    <row r="10" spans="1:15" x14ac:dyDescent="0.3">
      <c r="A10" s="19"/>
      <c r="B10" s="27" t="s">
        <v>38</v>
      </c>
      <c r="C10" s="19"/>
      <c r="D10" s="19"/>
      <c r="E10" s="19"/>
      <c r="F10" s="19"/>
      <c r="G10" s="19"/>
      <c r="H10" s="19"/>
      <c r="I10" s="19"/>
      <c r="J10" s="19"/>
      <c r="K10" s="19" t="s">
        <v>439</v>
      </c>
      <c r="L10" s="19" t="s">
        <v>66</v>
      </c>
      <c r="M10" s="19">
        <v>8</v>
      </c>
      <c r="N10" s="19" t="s">
        <v>452</v>
      </c>
      <c r="O10" s="19">
        <v>8</v>
      </c>
    </row>
    <row r="11" spans="1:15" x14ac:dyDescent="0.3">
      <c r="A11" s="19"/>
      <c r="B11" s="27" t="s">
        <v>39</v>
      </c>
      <c r="C11" s="19"/>
      <c r="D11" s="19"/>
      <c r="E11" s="19"/>
      <c r="F11" s="19"/>
      <c r="G11" s="19"/>
      <c r="H11" s="30" t="s">
        <v>468</v>
      </c>
      <c r="I11" s="19"/>
      <c r="J11" s="19"/>
      <c r="K11" s="19" t="s">
        <v>439</v>
      </c>
      <c r="L11" s="19" t="s">
        <v>67</v>
      </c>
      <c r="M11" s="19">
        <v>9</v>
      </c>
      <c r="N11" s="19" t="s">
        <v>452</v>
      </c>
      <c r="O11" s="19">
        <v>9</v>
      </c>
    </row>
    <row r="12" spans="1:15" x14ac:dyDescent="0.3">
      <c r="A12" s="19"/>
      <c r="B12" s="27"/>
      <c r="C12" s="19"/>
      <c r="D12" s="19"/>
      <c r="E12" s="19"/>
      <c r="F12" s="19"/>
      <c r="G12" s="19"/>
      <c r="H12" s="19" t="s">
        <v>444</v>
      </c>
      <c r="I12" s="19" t="str">
        <f>IF(OR(ISNUMBER(SEARCH("Hybrid",I6)),ISNUMBER(SEARCH("Solar",I6)),ISNUMBER(SEARCH("Wind",I6)),ISNUMBER(SEARCH("Hydrogen",I6))),"✓","")</f>
        <v>✓</v>
      </c>
      <c r="J12" s="19"/>
      <c r="K12" s="19" t="s">
        <v>439</v>
      </c>
      <c r="L12" s="19" t="s">
        <v>35</v>
      </c>
      <c r="M12" s="19">
        <v>10</v>
      </c>
      <c r="N12" s="19" t="s">
        <v>452</v>
      </c>
      <c r="O12" s="19">
        <v>10</v>
      </c>
    </row>
    <row r="13" spans="1:15" x14ac:dyDescent="0.3">
      <c r="A13" s="19"/>
      <c r="B13" s="27" t="s">
        <v>40</v>
      </c>
      <c r="C13" s="19"/>
      <c r="D13" s="19"/>
      <c r="E13" s="19"/>
      <c r="F13" s="19"/>
      <c r="G13" s="19"/>
      <c r="H13" s="19" t="s">
        <v>445</v>
      </c>
      <c r="I13" s="19" t="str">
        <f>IF(ISNUMBER(SEARCH("Solar",I6)),"✓","")</f>
        <v>✓</v>
      </c>
      <c r="J13" s="19"/>
      <c r="K13" s="19" t="s">
        <v>17</v>
      </c>
      <c r="L13" s="19" t="s">
        <v>57</v>
      </c>
      <c r="M13" s="19">
        <v>1</v>
      </c>
      <c r="N13" s="19" t="s">
        <v>453</v>
      </c>
      <c r="O13" s="19">
        <v>1</v>
      </c>
    </row>
    <row r="14" spans="1:15" x14ac:dyDescent="0.3">
      <c r="A14" s="19"/>
      <c r="B14" s="19"/>
      <c r="C14" s="19"/>
      <c r="D14" s="19"/>
      <c r="E14" s="19"/>
      <c r="F14" s="19"/>
      <c r="G14" s="19"/>
      <c r="H14" s="19" t="s">
        <v>446</v>
      </c>
      <c r="I14" s="19" t="str">
        <f>IF(ISNUMBER(SEARCH("Wind",I6)),"✓","")</f>
        <v>✓</v>
      </c>
      <c r="J14" s="19"/>
      <c r="K14" s="19" t="s">
        <v>17</v>
      </c>
      <c r="L14" s="19" t="s">
        <v>65</v>
      </c>
      <c r="M14" s="19">
        <v>2</v>
      </c>
      <c r="N14" s="19" t="s">
        <v>453</v>
      </c>
      <c r="O14" s="19">
        <v>2</v>
      </c>
    </row>
    <row r="15" spans="1:15" x14ac:dyDescent="0.3">
      <c r="A15" s="19"/>
      <c r="B15" s="19"/>
      <c r="C15" s="19"/>
      <c r="D15" s="19"/>
      <c r="E15" s="19"/>
      <c r="F15" s="19"/>
      <c r="G15" s="19"/>
      <c r="H15" s="19" t="s">
        <v>447</v>
      </c>
      <c r="I15" s="19" t="str">
        <f>IF(ISNUMBER(SEARCH("Hydrogen",I6)),"✓","")</f>
        <v>✓</v>
      </c>
      <c r="J15" s="19"/>
      <c r="K15" s="19" t="s">
        <v>17</v>
      </c>
      <c r="L15" s="19" t="s">
        <v>58</v>
      </c>
      <c r="M15" s="19">
        <v>3</v>
      </c>
      <c r="N15" s="19" t="s">
        <v>453</v>
      </c>
      <c r="O15" s="19">
        <v>3</v>
      </c>
    </row>
    <row r="16" spans="1:15" x14ac:dyDescent="0.3">
      <c r="A16" s="19"/>
      <c r="B16" s="19"/>
      <c r="C16" s="19"/>
      <c r="D16" s="19"/>
      <c r="E16" s="19"/>
      <c r="F16" s="19"/>
      <c r="G16" s="19"/>
      <c r="H16" s="19" t="s">
        <v>448</v>
      </c>
      <c r="I16" s="19" t="str">
        <f>IF(ISNUMBER(SEARCH("Storage",I6)),"✓","")</f>
        <v>✓</v>
      </c>
      <c r="J16" s="19"/>
      <c r="K16" s="19" t="s">
        <v>17</v>
      </c>
      <c r="L16" s="19" t="s">
        <v>103</v>
      </c>
      <c r="M16" s="19">
        <v>4</v>
      </c>
      <c r="N16" s="19" t="s">
        <v>453</v>
      </c>
      <c r="O16" s="19">
        <v>4</v>
      </c>
    </row>
    <row r="17" spans="1:15" x14ac:dyDescent="0.3">
      <c r="A17" s="19"/>
      <c r="B17" s="19"/>
      <c r="C17" s="19"/>
      <c r="D17" s="19"/>
      <c r="E17" s="19"/>
      <c r="F17" s="19"/>
      <c r="G17" s="19"/>
      <c r="H17" s="19"/>
      <c r="I17" s="19"/>
      <c r="J17" s="19"/>
      <c r="K17" s="19" t="s">
        <v>17</v>
      </c>
      <c r="L17" s="19" t="s">
        <v>104</v>
      </c>
      <c r="M17" s="19">
        <v>5</v>
      </c>
      <c r="N17" s="19" t="s">
        <v>453</v>
      </c>
      <c r="O17" s="19">
        <v>5</v>
      </c>
    </row>
    <row r="18" spans="1:15" ht="18" x14ac:dyDescent="0.3">
      <c r="A18" s="19"/>
      <c r="B18" s="19"/>
      <c r="C18" s="19"/>
      <c r="D18" s="19"/>
      <c r="E18" s="19"/>
      <c r="F18" s="19"/>
      <c r="G18" s="19"/>
      <c r="H18" s="30" t="s">
        <v>469</v>
      </c>
      <c r="I18" s="33">
        <f>IF(I12="✓",17,0)+IF(I13="✓",5,0)+IF(I14="✓",5,0)+IF(I15="✓",5,0)+IF(I16="✓",4,0)</f>
        <v>36</v>
      </c>
      <c r="J18" s="19"/>
      <c r="K18" s="19" t="s">
        <v>18</v>
      </c>
      <c r="L18" s="19" t="s">
        <v>57</v>
      </c>
      <c r="M18" s="19">
        <v>1</v>
      </c>
      <c r="N18" s="19" t="s">
        <v>454</v>
      </c>
      <c r="O18" s="19">
        <v>1</v>
      </c>
    </row>
    <row r="19" spans="1:15" x14ac:dyDescent="0.3">
      <c r="A19" s="19"/>
      <c r="B19" s="19"/>
      <c r="C19" s="19"/>
      <c r="D19" s="19"/>
      <c r="E19" s="19"/>
      <c r="F19" s="19"/>
      <c r="G19" s="19"/>
      <c r="H19" s="19" t="s">
        <v>470</v>
      </c>
      <c r="I19" s="19">
        <v>44</v>
      </c>
      <c r="J19" s="19"/>
      <c r="K19" s="19" t="s">
        <v>18</v>
      </c>
      <c r="L19" s="19" t="s">
        <v>69</v>
      </c>
      <c r="M19" s="19">
        <v>2</v>
      </c>
      <c r="N19" s="19" t="s">
        <v>454</v>
      </c>
      <c r="O19" s="19">
        <v>2</v>
      </c>
    </row>
    <row r="20" spans="1:15" x14ac:dyDescent="0.3">
      <c r="A20" s="19"/>
      <c r="B20" s="19"/>
      <c r="C20" s="19"/>
      <c r="D20" s="19"/>
      <c r="E20" s="19"/>
      <c r="F20" s="19"/>
      <c r="G20" s="19"/>
      <c r="H20" s="19"/>
      <c r="I20" s="19"/>
      <c r="J20" s="19"/>
      <c r="K20" s="19" t="s">
        <v>18</v>
      </c>
      <c r="L20" s="19" t="s">
        <v>70</v>
      </c>
      <c r="M20" s="19">
        <v>3</v>
      </c>
      <c r="N20" s="19" t="s">
        <v>454</v>
      </c>
      <c r="O20" s="19">
        <v>3</v>
      </c>
    </row>
    <row r="21" spans="1:15" x14ac:dyDescent="0.3">
      <c r="A21" s="19"/>
      <c r="B21" s="19"/>
      <c r="C21" s="19"/>
      <c r="D21" s="19"/>
      <c r="E21" s="19"/>
      <c r="F21" s="19"/>
      <c r="G21" s="19"/>
      <c r="H21" s="30" t="s">
        <v>471</v>
      </c>
      <c r="I21" s="40" t="s">
        <v>486</v>
      </c>
      <c r="J21" s="19"/>
      <c r="K21" s="19" t="s">
        <v>18</v>
      </c>
      <c r="L21" s="19" t="s">
        <v>59</v>
      </c>
      <c r="M21" s="19">
        <v>4</v>
      </c>
      <c r="N21" s="19" t="s">
        <v>454</v>
      </c>
      <c r="O21" s="19">
        <v>4</v>
      </c>
    </row>
    <row r="22" spans="1:15" x14ac:dyDescent="0.3">
      <c r="A22" s="19"/>
      <c r="B22" s="19"/>
      <c r="C22" s="19"/>
      <c r="D22" s="19"/>
      <c r="E22" s="19"/>
      <c r="F22" s="19"/>
      <c r="G22" s="19"/>
      <c r="H22" s="19"/>
      <c r="I22" s="19"/>
      <c r="J22" s="19"/>
      <c r="K22" s="19" t="s">
        <v>18</v>
      </c>
      <c r="L22" s="19" t="s">
        <v>105</v>
      </c>
      <c r="M22" s="19">
        <v>5</v>
      </c>
      <c r="N22" s="19" t="s">
        <v>454</v>
      </c>
      <c r="O22" s="19">
        <v>5</v>
      </c>
    </row>
    <row r="23" spans="1:15" ht="15.6" x14ac:dyDescent="0.3">
      <c r="A23" s="19"/>
      <c r="B23" s="19"/>
      <c r="C23" s="19"/>
      <c r="D23" s="19"/>
      <c r="E23" s="19"/>
      <c r="F23" s="19"/>
      <c r="G23" s="19"/>
      <c r="H23" s="34" t="s">
        <v>472</v>
      </c>
      <c r="I23" s="19"/>
      <c r="J23" s="19"/>
      <c r="K23" s="19" t="s">
        <v>19</v>
      </c>
      <c r="L23" s="19" t="s">
        <v>60</v>
      </c>
      <c r="M23" s="19">
        <v>1</v>
      </c>
      <c r="N23" s="19" t="s">
        <v>455</v>
      </c>
      <c r="O23" s="19">
        <v>1</v>
      </c>
    </row>
    <row r="24" spans="1:15" x14ac:dyDescent="0.3">
      <c r="A24" s="19"/>
      <c r="B24" s="19"/>
      <c r="C24" s="19"/>
      <c r="D24" s="35"/>
      <c r="E24" s="19"/>
      <c r="F24" s="19"/>
      <c r="G24" s="19"/>
      <c r="H24" s="36" t="s">
        <v>473</v>
      </c>
      <c r="I24" s="19"/>
      <c r="J24" s="19"/>
      <c r="K24" s="19" t="s">
        <v>19</v>
      </c>
      <c r="L24" s="19" t="s">
        <v>73</v>
      </c>
      <c r="M24" s="19">
        <v>2</v>
      </c>
      <c r="N24" s="19" t="s">
        <v>455</v>
      </c>
      <c r="O24" s="19">
        <v>2</v>
      </c>
    </row>
    <row r="25" spans="1:15" x14ac:dyDescent="0.3">
      <c r="A25" s="19"/>
      <c r="B25" s="19"/>
      <c r="C25" s="19"/>
      <c r="D25" s="19"/>
      <c r="E25" s="19"/>
      <c r="F25" s="19"/>
      <c r="G25" s="19"/>
      <c r="H25" s="36" t="s">
        <v>474</v>
      </c>
      <c r="I25" s="19"/>
      <c r="J25" s="19"/>
      <c r="K25" s="19" t="s">
        <v>19</v>
      </c>
      <c r="L25" s="19" t="s">
        <v>107</v>
      </c>
      <c r="M25" s="19">
        <v>3</v>
      </c>
      <c r="N25" s="19" t="s">
        <v>455</v>
      </c>
      <c r="O25" s="19">
        <v>3</v>
      </c>
    </row>
    <row r="26" spans="1:15" x14ac:dyDescent="0.3">
      <c r="A26" s="19"/>
      <c r="B26" s="19"/>
      <c r="C26" s="19"/>
      <c r="D26" s="37"/>
      <c r="E26" s="19"/>
      <c r="F26" s="19"/>
      <c r="G26" s="19"/>
      <c r="H26" s="36" t="s">
        <v>475</v>
      </c>
      <c r="I26" s="19"/>
      <c r="J26" s="19"/>
      <c r="K26" s="19" t="s">
        <v>19</v>
      </c>
      <c r="L26" s="19" t="s">
        <v>108</v>
      </c>
      <c r="M26" s="19">
        <v>4</v>
      </c>
      <c r="N26" s="19" t="s">
        <v>455</v>
      </c>
      <c r="O26" s="19">
        <v>4</v>
      </c>
    </row>
    <row r="27" spans="1:15" x14ac:dyDescent="0.3">
      <c r="A27" s="19"/>
      <c r="B27" s="19"/>
      <c r="C27" s="19"/>
      <c r="D27" s="19"/>
      <c r="E27" s="19"/>
      <c r="F27" s="19"/>
      <c r="G27" s="19"/>
      <c r="H27" s="36" t="s">
        <v>476</v>
      </c>
      <c r="I27" s="19"/>
      <c r="J27" s="19"/>
      <c r="K27" s="19" t="s">
        <v>19</v>
      </c>
      <c r="L27" s="19" t="s">
        <v>109</v>
      </c>
      <c r="M27" s="19">
        <v>5</v>
      </c>
      <c r="N27" s="19" t="s">
        <v>455</v>
      </c>
      <c r="O27" s="19">
        <v>5</v>
      </c>
    </row>
    <row r="28" spans="1:15" x14ac:dyDescent="0.3">
      <c r="A28" s="19"/>
      <c r="B28" s="19"/>
      <c r="C28" s="19"/>
      <c r="D28" s="19"/>
      <c r="E28" s="19"/>
      <c r="F28" s="19"/>
      <c r="G28" s="19"/>
      <c r="H28" s="36" t="s">
        <v>477</v>
      </c>
      <c r="I28" s="19"/>
      <c r="J28" s="19"/>
      <c r="K28" s="19" t="s">
        <v>110</v>
      </c>
      <c r="L28" s="19" t="s">
        <v>111</v>
      </c>
      <c r="M28" s="19">
        <v>1</v>
      </c>
      <c r="N28" s="19" t="s">
        <v>456</v>
      </c>
      <c r="O28" s="19">
        <v>1</v>
      </c>
    </row>
    <row r="29" spans="1:15" x14ac:dyDescent="0.3">
      <c r="A29" s="19"/>
      <c r="B29" s="19"/>
      <c r="C29" s="19"/>
      <c r="D29" s="19"/>
      <c r="E29" s="19"/>
      <c r="F29" s="19"/>
      <c r="G29" s="19"/>
      <c r="H29" s="36" t="s">
        <v>478</v>
      </c>
      <c r="I29" s="19"/>
      <c r="J29" s="19"/>
      <c r="K29" s="19" t="s">
        <v>110</v>
      </c>
      <c r="L29" s="19" t="s">
        <v>112</v>
      </c>
      <c r="M29" s="19">
        <v>2</v>
      </c>
      <c r="N29" s="19" t="s">
        <v>456</v>
      </c>
      <c r="O29" s="19">
        <v>2</v>
      </c>
    </row>
    <row r="30" spans="1:15" x14ac:dyDescent="0.3">
      <c r="A30" s="19"/>
      <c r="B30" s="19"/>
      <c r="C30" s="19"/>
      <c r="D30" s="19"/>
      <c r="E30" s="19"/>
      <c r="F30" s="19"/>
      <c r="G30" s="19"/>
      <c r="H30" s="36" t="s">
        <v>549</v>
      </c>
      <c r="I30" s="19"/>
      <c r="J30" s="19"/>
      <c r="K30" s="19" t="s">
        <v>110</v>
      </c>
      <c r="L30" s="19" t="s">
        <v>113</v>
      </c>
      <c r="M30" s="19">
        <v>3</v>
      </c>
      <c r="N30" s="19" t="s">
        <v>456</v>
      </c>
      <c r="O30" s="19">
        <v>3</v>
      </c>
    </row>
    <row r="31" spans="1:15" x14ac:dyDescent="0.3">
      <c r="A31" s="19"/>
      <c r="B31" s="19"/>
      <c r="C31" s="19"/>
      <c r="D31" s="19"/>
      <c r="E31" s="19"/>
      <c r="F31" s="19"/>
      <c r="G31" s="19"/>
      <c r="H31" s="36"/>
      <c r="I31" s="19"/>
      <c r="J31" s="19"/>
      <c r="K31" s="19" t="s">
        <v>110</v>
      </c>
      <c r="L31" s="19" t="s">
        <v>114</v>
      </c>
      <c r="M31" s="19">
        <v>4</v>
      </c>
      <c r="N31" s="19" t="s">
        <v>456</v>
      </c>
      <c r="O31" s="19">
        <v>4</v>
      </c>
    </row>
    <row r="32" spans="1:15" x14ac:dyDescent="0.3">
      <c r="A32" s="19"/>
      <c r="B32" s="19"/>
      <c r="C32" s="19"/>
      <c r="D32" s="19"/>
      <c r="E32" s="19"/>
      <c r="F32" s="19"/>
      <c r="G32" s="19"/>
      <c r="H32" s="36" t="s">
        <v>479</v>
      </c>
      <c r="I32" s="19"/>
      <c r="J32" s="19"/>
      <c r="K32" s="19" t="s">
        <v>439</v>
      </c>
      <c r="L32" s="19" t="s">
        <v>102</v>
      </c>
      <c r="M32" s="19">
        <v>11</v>
      </c>
      <c r="N32" s="19" t="s">
        <v>457</v>
      </c>
      <c r="O32" s="19">
        <v>1</v>
      </c>
    </row>
    <row r="33" spans="1:15" x14ac:dyDescent="0.3">
      <c r="A33" s="19"/>
      <c r="B33" s="19"/>
      <c r="C33" s="19"/>
      <c r="D33" s="19"/>
      <c r="E33" s="19"/>
      <c r="F33" s="19"/>
      <c r="G33" s="19"/>
      <c r="H33" s="36" t="s">
        <v>480</v>
      </c>
      <c r="I33" s="19"/>
      <c r="J33" s="19"/>
      <c r="K33" s="19" t="s">
        <v>439</v>
      </c>
      <c r="L33" s="19" t="s">
        <v>36</v>
      </c>
      <c r="M33" s="19">
        <v>12</v>
      </c>
      <c r="N33" s="19" t="s">
        <v>457</v>
      </c>
      <c r="O33" s="19">
        <v>2</v>
      </c>
    </row>
    <row r="34" spans="1:15" x14ac:dyDescent="0.3">
      <c r="A34" s="19"/>
      <c r="B34" s="19"/>
      <c r="C34" s="19"/>
      <c r="D34" s="19"/>
      <c r="E34" s="19"/>
      <c r="F34" s="19"/>
      <c r="G34" s="19"/>
      <c r="H34" s="19"/>
      <c r="I34" s="19"/>
      <c r="J34" s="19"/>
      <c r="K34" s="19" t="s">
        <v>439</v>
      </c>
      <c r="L34" s="19" t="s">
        <v>61</v>
      </c>
      <c r="M34" s="19">
        <v>13</v>
      </c>
      <c r="N34" s="19" t="s">
        <v>457</v>
      </c>
      <c r="O34" s="19">
        <v>3</v>
      </c>
    </row>
    <row r="35" spans="1:15" x14ac:dyDescent="0.3">
      <c r="A35" s="19"/>
      <c r="B35" s="19"/>
      <c r="C35" s="19"/>
      <c r="D35" s="19"/>
      <c r="E35" s="19"/>
      <c r="F35" s="19"/>
      <c r="G35" s="19"/>
      <c r="H35" s="29" t="s">
        <v>481</v>
      </c>
      <c r="I35" s="19"/>
      <c r="J35" s="19"/>
      <c r="K35" s="19" t="s">
        <v>439</v>
      </c>
      <c r="L35" s="19" t="s">
        <v>71</v>
      </c>
      <c r="M35" s="19">
        <v>14</v>
      </c>
      <c r="N35" s="19" t="s">
        <v>457</v>
      </c>
      <c r="O35" s="19">
        <v>4</v>
      </c>
    </row>
    <row r="36" spans="1:15" x14ac:dyDescent="0.3">
      <c r="A36" s="19"/>
      <c r="B36" s="19"/>
      <c r="C36" s="19"/>
      <c r="D36" s="19"/>
      <c r="E36" s="19"/>
      <c r="F36" s="19"/>
      <c r="G36" s="19"/>
      <c r="H36" s="38" t="s">
        <v>482</v>
      </c>
      <c r="I36" s="19"/>
      <c r="J36" s="19"/>
      <c r="K36" s="19" t="s">
        <v>439</v>
      </c>
      <c r="L36" s="19" t="s">
        <v>72</v>
      </c>
      <c r="M36" s="19">
        <v>15</v>
      </c>
      <c r="N36" s="19" t="s">
        <v>457</v>
      </c>
      <c r="O36" s="19">
        <v>5</v>
      </c>
    </row>
    <row r="37" spans="1:15" x14ac:dyDescent="0.3">
      <c r="A37" s="19"/>
      <c r="B37" s="19"/>
      <c r="C37" s="19"/>
      <c r="D37" s="19"/>
      <c r="E37" s="19"/>
      <c r="F37" s="19"/>
      <c r="G37" s="19"/>
      <c r="H37" s="38" t="s">
        <v>483</v>
      </c>
      <c r="I37" s="19"/>
      <c r="J37" s="19"/>
      <c r="K37" s="19" t="s">
        <v>439</v>
      </c>
      <c r="L37" s="19" t="s">
        <v>106</v>
      </c>
      <c r="M37" s="19">
        <v>16</v>
      </c>
      <c r="N37" s="19" t="s">
        <v>457</v>
      </c>
      <c r="O37" s="19">
        <v>6</v>
      </c>
    </row>
    <row r="38" spans="1:15" x14ac:dyDescent="0.3">
      <c r="A38" s="19"/>
      <c r="B38" s="19"/>
      <c r="C38" s="19"/>
      <c r="D38" s="19"/>
      <c r="E38" s="19"/>
      <c r="F38" s="19"/>
      <c r="G38" s="19"/>
      <c r="H38" s="38" t="s">
        <v>484</v>
      </c>
      <c r="I38" s="19"/>
      <c r="J38" s="19"/>
      <c r="K38" s="19" t="s">
        <v>439</v>
      </c>
      <c r="L38" s="19" t="s">
        <v>64</v>
      </c>
      <c r="M38" s="19">
        <v>17</v>
      </c>
      <c r="N38" s="19" t="s">
        <v>457</v>
      </c>
      <c r="O38" s="19">
        <v>7</v>
      </c>
    </row>
    <row r="39" spans="1:15" x14ac:dyDescent="0.3">
      <c r="A39" s="19"/>
      <c r="B39" s="19"/>
      <c r="C39" s="19"/>
      <c r="D39" s="19"/>
      <c r="E39" s="19"/>
      <c r="F39" s="19"/>
      <c r="G39" s="19"/>
      <c r="H39" s="38"/>
      <c r="I39" s="19"/>
      <c r="J39" s="19"/>
      <c r="K39" s="19"/>
      <c r="L39" s="19"/>
      <c r="M39" s="19"/>
      <c r="N39" s="19"/>
      <c r="O39" s="19"/>
    </row>
    <row r="40" spans="1:15" x14ac:dyDescent="0.3">
      <c r="A40" s="19"/>
      <c r="B40" s="19"/>
      <c r="C40" s="19"/>
      <c r="D40" s="19"/>
      <c r="E40" s="19"/>
      <c r="F40" s="19"/>
      <c r="G40" s="19"/>
      <c r="H40" s="38" t="s">
        <v>485</v>
      </c>
      <c r="I40" s="19"/>
      <c r="J40" s="19"/>
      <c r="K40" s="19"/>
      <c r="L40" s="19"/>
      <c r="M40" s="19"/>
      <c r="N40" s="19"/>
      <c r="O40" s="19"/>
    </row>
    <row r="41" spans="1:15" x14ac:dyDescent="0.3">
      <c r="A41" s="19"/>
      <c r="B41" s="19"/>
      <c r="C41" s="19"/>
      <c r="D41" s="19"/>
      <c r="E41" s="19"/>
      <c r="F41" s="19"/>
      <c r="G41" s="19"/>
      <c r="H41" s="38" t="s">
        <v>458</v>
      </c>
      <c r="I41" s="19"/>
      <c r="J41" s="19"/>
      <c r="K41" s="19"/>
      <c r="L41" s="19"/>
      <c r="M41" s="19"/>
      <c r="N41" s="19"/>
      <c r="O41" s="19"/>
    </row>
    <row r="42" spans="1:15" x14ac:dyDescent="0.3">
      <c r="A42" s="19"/>
      <c r="B42" s="19"/>
      <c r="C42" s="19"/>
      <c r="D42" s="19"/>
      <c r="E42" s="19"/>
      <c r="F42" s="19"/>
      <c r="G42" s="19"/>
      <c r="H42" s="38" t="s">
        <v>459</v>
      </c>
      <c r="I42" s="19"/>
      <c r="J42" s="19"/>
      <c r="K42" s="19"/>
      <c r="L42" s="19"/>
      <c r="M42" s="19"/>
      <c r="N42" s="19"/>
      <c r="O42" s="19"/>
    </row>
    <row r="43" spans="1:15" x14ac:dyDescent="0.3">
      <c r="A43" s="19"/>
      <c r="B43" s="19"/>
      <c r="C43" s="19"/>
      <c r="D43" s="19"/>
      <c r="E43" s="19"/>
      <c r="F43" s="19"/>
      <c r="G43" s="19"/>
      <c r="H43" s="38" t="s">
        <v>460</v>
      </c>
      <c r="I43" s="19"/>
      <c r="J43" s="19"/>
      <c r="K43" s="19"/>
      <c r="L43" s="19"/>
      <c r="M43" s="19"/>
      <c r="N43" s="19"/>
      <c r="O43" s="19"/>
    </row>
    <row r="44" spans="1:15" x14ac:dyDescent="0.3">
      <c r="A44" s="19"/>
      <c r="B44" s="19"/>
      <c r="C44" s="19"/>
      <c r="D44" s="19"/>
      <c r="E44" s="19"/>
      <c r="F44" s="19"/>
      <c r="G44" s="19"/>
      <c r="H44" s="38" t="s">
        <v>461</v>
      </c>
      <c r="I44" s="19"/>
      <c r="J44" s="19"/>
      <c r="K44" s="19"/>
      <c r="L44" s="19"/>
      <c r="M44" s="19"/>
      <c r="N44" s="19"/>
      <c r="O44" s="19"/>
    </row>
    <row r="45" spans="1:15" x14ac:dyDescent="0.3">
      <c r="A45" s="19"/>
      <c r="B45" s="19"/>
      <c r="C45" s="19"/>
      <c r="D45" s="19"/>
      <c r="E45" s="19"/>
      <c r="F45" s="19"/>
      <c r="G45" s="19"/>
      <c r="H45" s="38" t="s">
        <v>462</v>
      </c>
      <c r="I45" s="19"/>
      <c r="J45" s="19"/>
      <c r="K45" s="19"/>
      <c r="L45" s="19"/>
      <c r="M45" s="19"/>
      <c r="N45" s="19"/>
      <c r="O45" s="19"/>
    </row>
    <row r="46" spans="1:15" x14ac:dyDescent="0.3">
      <c r="A46" s="19"/>
      <c r="B46" s="19"/>
      <c r="C46" s="19"/>
      <c r="D46" s="19"/>
      <c r="E46" s="19"/>
      <c r="F46" s="19"/>
      <c r="G46" s="19"/>
      <c r="H46" s="38" t="s">
        <v>463</v>
      </c>
      <c r="I46" s="19"/>
      <c r="J46" s="19"/>
      <c r="K46" s="19"/>
      <c r="L46" s="19"/>
      <c r="M46" s="19"/>
      <c r="N46" s="19"/>
      <c r="O46" s="19"/>
    </row>
    <row r="47" spans="1:15" x14ac:dyDescent="0.3">
      <c r="A47" s="19"/>
      <c r="B47" s="19"/>
      <c r="C47" s="19"/>
      <c r="D47" s="19"/>
      <c r="E47" s="19"/>
      <c r="F47" s="19"/>
      <c r="G47" s="19"/>
      <c r="H47" s="38" t="s">
        <v>464</v>
      </c>
      <c r="I47" s="19"/>
      <c r="J47" s="19"/>
      <c r="K47" s="19"/>
      <c r="L47" s="19"/>
      <c r="M47" s="19"/>
      <c r="N47" s="19"/>
      <c r="O47" s="19"/>
    </row>
  </sheetData>
  <sheetProtection algorithmName="SHA-512" hashValue="NrmcEMtNse7Ang067z3TleQhiHWk5gajKlCwBlfQmnntAISIYuN/Il7kqzY68lhA3Wfh9Ck2SPguLhN7wC1UXg==" saltValue="PlAKl7Vd+eKUHi4pL2MWwA==" spinCount="100000" sheet="1" sort="0" autoFilter="0"/>
  <mergeCells count="1">
    <mergeCell ref="H1:O1"/>
  </mergeCells>
  <dataValidations count="2">
    <dataValidation type="list" allowBlank="1" showInputMessage="1" showErrorMessage="1" sqref="I3" xr:uid="{E780574A-848B-4A31-98A3-40F2B45B344B}">
      <formula1>"Project_001,Project_002,Project_003,Project_004,Project_005,Project_006,Project_007,Project_008,Project_009,Project_010,Project_011,Project_012"</formula1>
    </dataValidation>
    <dataValidation type="list" allowBlank="1" showInputMessage="1" showErrorMessage="1" sqref="I21" xr:uid="{324B8072-A570-4063-9093-21C5F1854636}">
      <formula1>"Replace,Add,Cancel"</formula1>
    </dataValidation>
  </dataValidations>
  <pageMargins left="0.7" right="0.7" top="0.75" bottom="0.75" header="0.3" footer="0.3"/>
  <pageSetup paperSize="9" scale="37"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17542-0443-4A07-9091-B036A49E90EB}">
  <sheetPr codeName="Sheet4"/>
  <dimension ref="B1:P55"/>
  <sheetViews>
    <sheetView showGridLines="0" tabSelected="1" zoomScale="55" zoomScaleNormal="55" workbookViewId="0">
      <pane ySplit="4" topLeftCell="A5" activePane="bottomLeft" state="frozen"/>
      <selection pane="bottomLeft" activeCell="M5" sqref="M5"/>
    </sheetView>
  </sheetViews>
  <sheetFormatPr defaultRowHeight="14.4" x14ac:dyDescent="0.3"/>
  <cols>
    <col min="1" max="1" width="1.44140625" style="1" customWidth="1"/>
    <col min="2" max="2" width="24.109375" style="1" customWidth="1"/>
    <col min="3" max="3" width="18.5546875" style="1" customWidth="1"/>
    <col min="4" max="4" width="20.33203125" style="1" customWidth="1"/>
    <col min="5" max="5" width="22.21875" style="1" customWidth="1"/>
    <col min="6" max="9" width="18.5546875" style="1" customWidth="1"/>
    <col min="10" max="10" width="14.77734375" style="1" customWidth="1"/>
    <col min="11" max="11" width="18.5546875" style="1" customWidth="1"/>
    <col min="12" max="12" width="24.109375" style="1" customWidth="1"/>
    <col min="13" max="13" width="18.5546875" style="1" customWidth="1"/>
    <col min="14" max="18" width="0" style="1" hidden="1" customWidth="1"/>
    <col min="19" max="16384" width="8.88671875" style="1"/>
  </cols>
  <sheetData>
    <row r="1" spans="2:16" ht="10.050000000000001" customHeight="1" x14ac:dyDescent="0.3"/>
    <row r="2" spans="2:16" ht="34.950000000000003" customHeight="1" x14ac:dyDescent="0.3">
      <c r="B2" s="80" t="s">
        <v>531</v>
      </c>
      <c r="C2" s="19"/>
      <c r="D2" s="19"/>
      <c r="E2" s="19"/>
      <c r="F2" s="19"/>
      <c r="G2" s="19"/>
      <c r="H2" s="36" t="s">
        <v>534</v>
      </c>
      <c r="I2" s="81">
        <v>46121</v>
      </c>
      <c r="J2" s="19"/>
      <c r="K2" s="19"/>
      <c r="L2" s="82" t="str">
        <f>IF(AND($M$3="All",$M$4="All",$M$5="All",$M$6="All",$M$7="All")," FILTERS (All)"," FILTERS (Active)")</f>
        <v xml:space="preserve"> FILTERS (All)</v>
      </c>
      <c r="M2" s="83"/>
      <c r="P2"/>
    </row>
    <row r="3" spans="2:16" ht="19.95" customHeight="1" x14ac:dyDescent="0.3">
      <c r="B3" s="84" t="s">
        <v>507</v>
      </c>
      <c r="C3" s="19"/>
      <c r="D3" s="19"/>
      <c r="E3" s="19"/>
      <c r="F3" s="19"/>
      <c r="G3" s="19"/>
      <c r="H3" s="19"/>
      <c r="I3" s="19"/>
      <c r="J3" s="19"/>
      <c r="K3" s="19"/>
      <c r="L3" s="85" t="s">
        <v>544</v>
      </c>
      <c r="M3" s="136" t="s">
        <v>491</v>
      </c>
    </row>
    <row r="4" spans="2:16" ht="30.6" customHeight="1" x14ac:dyDescent="0.3">
      <c r="B4" s="19"/>
      <c r="C4" s="19"/>
      <c r="D4" s="19"/>
      <c r="E4" s="19"/>
      <c r="F4" s="19"/>
      <c r="G4" s="19"/>
      <c r="H4" s="19"/>
      <c r="I4" s="19"/>
      <c r="J4" s="19"/>
      <c r="K4" s="19"/>
      <c r="L4" s="85" t="s">
        <v>440</v>
      </c>
      <c r="M4" s="136" t="s">
        <v>491</v>
      </c>
    </row>
    <row r="5" spans="2:16" ht="19.95" customHeight="1" x14ac:dyDescent="0.3">
      <c r="B5" s="86" t="s">
        <v>508</v>
      </c>
      <c r="C5" s="87" t="s">
        <v>509</v>
      </c>
      <c r="D5" s="87" t="s">
        <v>536</v>
      </c>
      <c r="E5" s="87" t="s">
        <v>539</v>
      </c>
      <c r="F5" s="87" t="s">
        <v>436</v>
      </c>
      <c r="G5" s="88" t="s">
        <v>510</v>
      </c>
      <c r="H5" s="19"/>
      <c r="I5" s="19"/>
      <c r="J5" s="19"/>
      <c r="K5" s="19"/>
      <c r="L5" s="85" t="s">
        <v>545</v>
      </c>
      <c r="M5" s="136" t="s">
        <v>491</v>
      </c>
    </row>
    <row r="6" spans="2:16" ht="30" customHeight="1" x14ac:dyDescent="0.3">
      <c r="B6" s="89" t="str" cm="1">
        <f t="array" ref="B6">ROUND(SUMPRODUCT((($M$3="All")+(tbl_projects[Status]=$M$3)&gt;0)*(($M$4="All")+(tbl_projects[Technology_Type_Clean]=$M$4)&gt;0)*(($M$5="All")+(tbl_projects[Country]=$M$5)&gt;0)*(($M$6="All")+(tbl_projects[Risk_Level]=$M$6)&gt;0)*(($M$7="All")+(tbl_projects[Project_Manager]=$M$7)&gt;0)*tbl_projects[CAPEX])/1000000000,2)&amp;" B€"</f>
        <v>2,09 B€</v>
      </c>
      <c r="C6" s="90" cm="1">
        <f t="array" ref="C6">SUMPRODUCT((($M$3="All")+(tbl_projects[Status]=$M$3)&gt;0)*(($M$4="All")+(tbl_projects[Technology_Type_Clean]=$M$4)&gt;0)*(($M$5="All")+(tbl_projects[Country]=$M$5)&gt;0)*(($M$6="All")+(tbl_projects[Risk_Level]=$M$6)&gt;0)*(($M$7="All")+(tbl_projects[Project_Manager]=$M$7)&gt;0)*1)</f>
        <v>12</v>
      </c>
      <c r="D6" s="90" t="str" cm="1">
        <f t="array" ref="D6">SUMPRODUCT((($M$3="All")+(tbl_projects[Status]=$M$3)&gt;0)*(($M$4="All")+(tbl_projects[Technology_Type_Clean]=$M$4)&gt;0)*(($M$5="All")+(tbl_projects[Country]=$M$5)&gt;0)*(($M$6="All")+(tbl_projects[Risk_Level]=$M$6)&gt;0)*(($M$7="All")+(tbl_projects[Project_Manager]=$M$7)&gt;0)*tbl_projects[Capacity_MW])&amp;" MW"</f>
        <v>1790 MW</v>
      </c>
      <c r="E6" s="90" t="str" cm="1">
        <f t="array" ref="E6">ROUND(SUMPRODUCT((($M$3="All")+(tbl_projects[Status]=$M$3)&gt;0)*(($M$4="All")+(tbl_projects[Technology_Type_Clean]=$M$4)&gt;0)*(($M$5="All")+(tbl_projects[Country]=$M$5)&gt;0)*(($M$6="All")+(tbl_projects[Risk_Level]=$M$6)&gt;0)*(($M$7="All")+(tbl_projects[Project_Manager]=$M$7)&gt;0)*tbl_projects[Production_MWh])/MAX(1,SUMPRODUCT((($M$3="All")+(tbl_projects[Status]=$M$3)&gt;0)*(($M$4="All")+(tbl_projects[Technology_Type_Clean]=$M$4)&gt;0)*(($M$5="All")+(tbl_projects[Country]=$M$5)&gt;0)*(($M$6="All")+(tbl_projects[Risk_Level]=$M$6)&gt;0)*(($M$7="All")+(tbl_projects[Project_Manager]=$M$7)&gt;0)*1)),0)&amp;" MWh"</f>
        <v>442088 MWh</v>
      </c>
      <c r="F6" s="90" t="str" cm="1">
        <f t="array" ref="F6">TEXT(SUMPRODUCT((($M$3="All")+(tbl_projects[Status]=$M$3)&gt;0)*(($M$4="All")+(tbl_projects[Technology_Type_Clean]=$M$4)&gt;0)*(($M$5="All")+(tbl_projects[Country]=$M$5)&gt;0)*(($M$6="All")+(tbl_projects[Risk_Level]=$M$6)&gt;0)*(($M$7="All")+(tbl_projects[Project_Manager]=$M$7)&gt;0)*tbl_projects[ROI])/MAX(1,SUMPRODUCT((($M$3="All")+(tbl_projects[Status]=$M$3)&gt;0)*(($M$4="All")+(tbl_projects[Technology_Type_Clean]=$M$4)&gt;0)*(($M$5="All")+(tbl_projects[Country]=$M$5)&gt;0)*(($M$6="All")+(tbl_projects[Risk_Level]=$M$6)&gt;0)*(($M$7="All")+(tbl_projects[Project_Manager]=$M$7)&gt;0)*1)),"0%")</f>
        <v>16%</v>
      </c>
      <c r="G6" s="91" t="str" cm="1">
        <f t="array" ref="G6">TEXT(SUMPRODUCT((($M$3="All")+(tbl_projects[Status]=$M$3)&gt;0)*(($M$4="All")+(tbl_projects[Technology_Type_Clean]=$M$4)&gt;0)*(($M$5="All")+(tbl_projects[Country]=$M$5)&gt;0)*(($M$6="All")+(tbl_projects[Risk_Level]=$M$6)&gt;0)*(($M$7="All")+(tbl_projects[Project_Manager]=$M$7)&gt;0)*(tbl_projects[Status]="Completed")*1)/MAX(1,SUMPRODUCT((($M$3="All")+(tbl_projects[Status]=$M$3)&gt;0)*(($M$4="All")+(tbl_projects[Technology_Type_Clean]=$M$4)&gt;0)*(($M$5="All")+(tbl_projects[Country]=$M$5)&gt;0)*(($M$6="All")+(tbl_projects[Risk_Level]=$M$6)&gt;0)*(($M$7="All")+(tbl_projects[Project_Manager]=$M$7)&gt;0)*1)),"0%")</f>
        <v>33%</v>
      </c>
      <c r="H6" s="19"/>
      <c r="I6" s="19"/>
      <c r="J6" s="19"/>
      <c r="K6" s="19"/>
      <c r="L6" s="85" t="s">
        <v>502</v>
      </c>
      <c r="M6" s="136" t="s">
        <v>491</v>
      </c>
    </row>
    <row r="7" spans="2:16" ht="18" customHeight="1" x14ac:dyDescent="0.3">
      <c r="B7" s="92" t="str" cm="1">
        <f t="array" ref="B7">SUMPRODUCT((($M$3="All")+(tbl_projects[Status]=$M$3)&gt;0)*(($M$4="All")+(tbl_projects[Technology_Type_Clean]=$M$4)&gt;0)*(($M$5="All")+(tbl_projects[Country]=$M$5)&gt;0)*(($M$6="All")+(tbl_projects[Risk_Level]=$M$6)&gt;0)*(($M$7="All")+(tbl_projects[Project_Manager]=$M$7)&gt;0)*(tbl_projects[Risk_Level]="High")*1)&amp;" High Risk"</f>
        <v>5 High Risk</v>
      </c>
      <c r="C7" s="93" t="str" cm="1">
        <f t="array" ref="C7">SUMPRODUCT((($M$3="All")+(tbl_projects[Status]=$M$3)&gt;0)*(($M$4="All")+(tbl_projects[Technology_Type_Clean]=$M$4)&gt;0)*(($M$5="All")+(tbl_projects[Country]=$M$5)&gt;0)*(($M$6="All")+(tbl_projects[Risk_Level]=$M$6)&gt;0)*(($M$7="All")+(tbl_projects[Project_Manager]=$M$7)&gt;0)*(tbl_projects[Status]="In Progress")*1)&amp;" Active"</f>
        <v>4 Active</v>
      </c>
      <c r="D7" s="93" t="str" cm="1">
        <f t="array" ref="D7">ROUND(SUMPRODUCT((($M$3="All")+(tbl_projects[Status]=$M$3)&gt;0)*(($M$4="All")+(tbl_projects[Technology_Type_Clean]=$M$4)&gt;0)*(($M$5="All")+(tbl_projects[Country]=$M$5)&gt;0)*(($M$6="All")+(tbl_projects[Risk_Level]=$M$6)&gt;0)*(($M$7="All")+(tbl_projects[Project_Manager]=$M$7)&gt;0)*tbl_projects[Capacity_MW])/MAX(1,SUMPRODUCT((($M$3="All")+(tbl_projects[Status]=$M$3)&gt;0)*(($M$4="All")+(tbl_projects[Technology_Type_Clean]=$M$4)&gt;0)*(($M$5="All")+(tbl_projects[Country]=$M$5)&gt;0)*(($M$6="All")+(tbl_projects[Risk_Level]=$M$6)&gt;0)*(($M$7="All")+(tbl_projects[Project_Manager]=$M$7)&gt;0)*1)),0)&amp;" MW Avg"</f>
        <v>149 MW Avg</v>
      </c>
      <c r="E7" s="93" t="str" cm="1">
        <f t="array" ref="E7">ROUND(MAX(IF((($M$3="All")+(tbl_projects[Status]=$M$3)&gt;0)*(($M$4="All")+(tbl_projects[Technology_Type_Clean]=$M$4)&gt;0)*(($M$5="All")+(tbl_projects[Country]=$M$5)&gt;0)*(($M$6="All")+(tbl_projects[Risk_Level]=$M$6)&gt;0)*(($M$7="All")+(tbl_projects[Project_Manager]=$M$7)&gt;0),tbl_projects[Production_MWh],0)),0)&amp;" Max"</f>
        <v>655248 Max</v>
      </c>
      <c r="F7" s="93" t="str" cm="1">
        <f t="array" ref="F7">TEXT(MAX(IF((($M$3="All")+(tbl_projects[Status]=$M$3)&gt;0)*(($M$4="All")+(tbl_projects[Technology_Type_Clean]=$M$4)&gt;0)*(($M$5="All")+(tbl_projects[Country]=$M$5)&gt;0)*(($M$6="All")+(tbl_projects[Risk_Level]=$M$6)&gt;0)*(($M$7="All")+(tbl_projects[Project_Manager]=$M$7)&gt;0),tbl_projects[ROI],0)),"0%")&amp;" Max"</f>
        <v>24% Max</v>
      </c>
      <c r="G7" s="94" t="str" cm="1">
        <f t="array" ref="G7">SUMPRODUCT((($M$3="All")+(tbl_projects[Status]=$M$3)&gt;0)*(($M$4="All")+(tbl_projects[Technology_Type_Clean]=$M$4)&gt;0)*(($M$5="All")+(tbl_projects[Country]=$M$5)&gt;0)*(($M$6="All")+(tbl_projects[Risk_Level]=$M$6)&gt;0)*(($M$7="All")+(tbl_projects[Project_Manager]=$M$7)&gt;0)*(tbl_projects[Status]="Completed")*1)&amp;" of "&amp;SUMPRODUCT((($M$3="All")+(tbl_projects[Status]=$M$3)&gt;0)*(($M$4="All")+(tbl_projects[Technology_Type_Clean]=$M$4)&gt;0)*(($M$5="All")+(tbl_projects[Country]=$M$5)&gt;0)*(($M$6="All")+(tbl_projects[Risk_Level]=$M$6)&gt;0)*(($M$7="All")+(tbl_projects[Project_Manager]=$M$7)&gt;0)*1)</f>
        <v>4 of 12</v>
      </c>
      <c r="H7" s="19"/>
      <c r="I7" s="19"/>
      <c r="J7" s="19"/>
      <c r="K7" s="19"/>
      <c r="L7" s="95" t="s">
        <v>546</v>
      </c>
      <c r="M7" s="137" t="s">
        <v>491</v>
      </c>
    </row>
    <row r="8" spans="2:16" ht="10.050000000000001" customHeight="1" x14ac:dyDescent="0.3">
      <c r="B8" s="19"/>
      <c r="C8" s="19"/>
      <c r="D8" s="19"/>
      <c r="E8" s="19"/>
      <c r="F8" s="19"/>
      <c r="G8" s="19"/>
      <c r="H8" s="19"/>
      <c r="I8" s="19"/>
      <c r="J8" s="19"/>
      <c r="K8" s="19"/>
      <c r="L8" s="19"/>
      <c r="M8" s="19"/>
    </row>
    <row r="9" spans="2:16" ht="19.95" customHeight="1" x14ac:dyDescent="0.3">
      <c r="B9" s="96" t="s">
        <v>542</v>
      </c>
      <c r="C9" s="96"/>
      <c r="D9" s="96" t="s">
        <v>532</v>
      </c>
      <c r="E9" s="96"/>
      <c r="F9" s="96" t="s">
        <v>533</v>
      </c>
      <c r="G9" s="96"/>
      <c r="H9" s="19"/>
      <c r="I9" s="19"/>
      <c r="J9" s="19"/>
      <c r="K9" s="19"/>
      <c r="L9" s="97" t="s">
        <v>547</v>
      </c>
      <c r="M9" s="98"/>
    </row>
    <row r="10" spans="2:16" ht="25.05" customHeight="1" x14ac:dyDescent="0.3">
      <c r="B10" s="99" t="s">
        <v>4</v>
      </c>
      <c r="C10" s="99" t="s">
        <v>511</v>
      </c>
      <c r="D10" s="99" t="s">
        <v>3</v>
      </c>
      <c r="E10" s="99" t="s">
        <v>512</v>
      </c>
      <c r="F10" s="99" t="s">
        <v>2</v>
      </c>
      <c r="G10" s="99" t="s">
        <v>512</v>
      </c>
      <c r="H10" s="38"/>
      <c r="I10" s="38"/>
      <c r="J10" s="38"/>
      <c r="K10" s="38"/>
      <c r="L10" s="100"/>
      <c r="M10" s="101"/>
    </row>
    <row r="11" spans="2:16" ht="25.05" customHeight="1" x14ac:dyDescent="0.3">
      <c r="B11" s="38" t="s">
        <v>26</v>
      </c>
      <c r="C11" s="38" cm="1">
        <f t="array" ref="C11">SUMPRODUCT((($M$3="All")+(tbl_projects[Status]=$M$3)&gt;0)*(($M$4="All")+(tbl_projects[Technology_Type_Clean]=$M$4)&gt;0)*(($M$5="All")+(tbl_projects[Country]=$M$5)&gt;0)*(($M$6="All")+(tbl_projects[Risk_Level]=$M$6)&gt;0)*(($M$7="All")+(tbl_projects[Project_Manager]=$M$7)&gt;0)*(tbl_projects[Status]="Completed")*1)</f>
        <v>4</v>
      </c>
      <c r="D11" s="38" t="s">
        <v>439</v>
      </c>
      <c r="E11" s="102" cm="1">
        <f t="array" ref="E11">SUMPRODUCT((($M$3="All")+(tbl_projects[Status]=$M$3)&gt;0)*(($M$4="All")+(tbl_projects[Technology_Type_Clean]=$M$4)&gt;0)*(($M$5="All")+(tbl_projects[Country]=$M$5)&gt;0)*(($M$6="All")+(tbl_projects[Risk_Level]=$M$6)&gt;0)*(($M$7="All")+(tbl_projects[Project_Manager]=$M$7)&gt;0)*(tbl_projects[Technology_Type_Clean]="Hybrid")*tbl_projects[CAPEX])/1000000</f>
        <v>1265</v>
      </c>
      <c r="F11" s="38" t="s">
        <v>42</v>
      </c>
      <c r="G11" s="102" cm="1">
        <f t="array" ref="G11">SUMPRODUCT((($M$3="All")+(tbl_projects[Status]=$M$3)&gt;0)*(($M$4="All")+(tbl_projects[Technology_Type_Clean]=$M$4)&gt;0)*(($M$5="All")+(tbl_projects[Country]=$M$5)&gt;0)*(($M$6="All")+(tbl_projects[Risk_Level]=$M$6)&gt;0)*(($M$7="All")+(tbl_projects[Project_Manager]=$M$7)&gt;0)*(tbl_projects[Country]="Portugal")*tbl_projects[CAPEX])/1000000</f>
        <v>580</v>
      </c>
      <c r="H11" s="38"/>
      <c r="I11" s="38"/>
      <c r="J11" s="38"/>
      <c r="K11" s="38"/>
      <c r="L11" s="103"/>
      <c r="M11" s="104"/>
    </row>
    <row r="12" spans="2:16" ht="25.05" customHeight="1" x14ac:dyDescent="0.3">
      <c r="B12" s="38" t="s">
        <v>25</v>
      </c>
      <c r="C12" s="38" cm="1">
        <f t="array" ref="C12">SUMPRODUCT((($M$3="All")+(tbl_projects[Status]=$M$3)&gt;0)*(($M$4="All")+(tbl_projects[Technology_Type_Clean]=$M$4)&gt;0)*(($M$5="All")+(tbl_projects[Country]=$M$5)&gt;0)*(($M$6="All")+(tbl_projects[Risk_Level]=$M$6)&gt;0)*(($M$7="All")+(tbl_projects[Project_Manager]=$M$7)&gt;0)*(tbl_projects[Status]="In Progress")*1)</f>
        <v>4</v>
      </c>
      <c r="D12" s="38" t="s">
        <v>18</v>
      </c>
      <c r="E12" s="102" cm="1">
        <f t="array" ref="E12">SUMPRODUCT((($M$3="All")+(tbl_projects[Status]=$M$3)&gt;0)*(($M$4="All")+(tbl_projects[Technology_Type_Clean]=$M$4)&gt;0)*(($M$5="All")+(tbl_projects[Country]=$M$5)&gt;0)*(($M$6="All")+(tbl_projects[Risk_Level]=$M$6)&gt;0)*(($M$7="All")+(tbl_projects[Project_Manager]=$M$7)&gt;0)*(tbl_projects[Technology_Type_Clean]="Wind")*tbl_projects[CAPEX])/1000000</f>
        <v>525</v>
      </c>
      <c r="F12" s="38" t="s">
        <v>46</v>
      </c>
      <c r="G12" s="102" cm="1">
        <f t="array" ref="G12">SUMPRODUCT((($M$3="All")+(tbl_projects[Status]=$M$3)&gt;0)*(($M$4="All")+(tbl_projects[Technology_Type_Clean]=$M$4)&gt;0)*(($M$5="All")+(tbl_projects[Country]=$M$5)&gt;0)*(($M$6="All")+(tbl_projects[Risk_Level]=$M$6)&gt;0)*(($M$7="All")+(tbl_projects[Project_Manager]=$M$7)&gt;0)*(tbl_projects[Country]="Spain")*tbl_projects[CAPEX])/1000000</f>
        <v>460</v>
      </c>
      <c r="H12" s="38"/>
      <c r="I12" s="38"/>
      <c r="J12" s="38"/>
      <c r="K12" s="38"/>
      <c r="L12" s="105"/>
      <c r="M12" s="106"/>
    </row>
    <row r="13" spans="2:16" ht="15" customHeight="1" x14ac:dyDescent="0.3">
      <c r="B13" s="38" t="s">
        <v>24</v>
      </c>
      <c r="C13" s="38" cm="1">
        <f t="array" ref="C13">SUMPRODUCT((($M$3="All")+(tbl_projects[Status]=$M$3)&gt;0)*(($M$4="All")+(tbl_projects[Technology_Type_Clean]=$M$4)&gt;0)*(($M$5="All")+(tbl_projects[Country]=$M$5)&gt;0)*(($M$6="All")+(tbl_projects[Risk_Level]=$M$6)&gt;0)*(($M$7="All")+(tbl_projects[Project_Manager]=$M$7)&gt;0)*(tbl_projects[Status]="Planned")*1)</f>
        <v>4</v>
      </c>
      <c r="D13" s="38" t="s">
        <v>17</v>
      </c>
      <c r="E13" s="102" cm="1">
        <f t="array" ref="E13">SUMPRODUCT((($M$3="All")+(tbl_projects[Status]=$M$3)&gt;0)*(($M$4="All")+(tbl_projects[Technology_Type_Clean]=$M$4)&gt;0)*(($M$5="All")+(tbl_projects[Country]=$M$5)&gt;0)*(($M$6="All")+(tbl_projects[Risk_Level]=$M$6)&gt;0)*(($M$7="All")+(tbl_projects[Project_Manager]=$M$7)&gt;0)*(tbl_projects[Technology_Type_Clean]="Solar")*tbl_projects[CAPEX])/1000000</f>
        <v>190</v>
      </c>
      <c r="F13" s="38" t="s">
        <v>41</v>
      </c>
      <c r="G13" s="102" cm="1">
        <f t="array" ref="G13">SUMPRODUCT((($M$3="All")+(tbl_projects[Status]=$M$3)&gt;0)*(($M$4="All")+(tbl_projects[Technology_Type_Clean]=$M$4)&gt;0)*(($M$5="All")+(tbl_projects[Country]=$M$5)&gt;0)*(($M$6="All")+(tbl_projects[Risk_Level]=$M$6)&gt;0)*(($M$7="All")+(tbl_projects[Project_Manager]=$M$7)&gt;0)*(tbl_projects[Country]="France")*tbl_projects[CAPEX])/1000000</f>
        <v>475</v>
      </c>
      <c r="H13" s="38"/>
      <c r="I13" s="38"/>
      <c r="J13" s="38"/>
      <c r="K13" s="38"/>
      <c r="L13" s="19"/>
      <c r="M13" s="19"/>
    </row>
    <row r="14" spans="2:16" ht="15" customHeight="1" x14ac:dyDescent="0.3">
      <c r="B14" s="38"/>
      <c r="C14" s="38"/>
      <c r="D14" s="38" t="s">
        <v>493</v>
      </c>
      <c r="E14" s="102" cm="1">
        <f t="array" ref="E14">SUMPRODUCT((($M$3="All")+(tbl_projects[Status]=$M$3)&gt;0)*(($M$4="All")+(tbl_projects[Technology_Type_Clean]=$M$4)&gt;0)*(($M$5="All")+(tbl_projects[Country]=$M$5)&gt;0)*(($M$6="All")+(tbl_projects[Risk_Level]=$M$6)&gt;0)*(($M$7="All")+(tbl_projects[Project_Manager]=$M$7)&gt;0)*(tbl_projects[Technology_Type_Clean]="H2")*tbl_projects[CAPEX])/1000000</f>
        <v>110</v>
      </c>
      <c r="F14" s="38" t="s">
        <v>45</v>
      </c>
      <c r="G14" s="102" cm="1">
        <f t="array" ref="G14">SUMPRODUCT((($M$3="All")+(tbl_projects[Status]=$M$3)&gt;0)*(($M$4="All")+(tbl_projects[Technology_Type_Clean]=$M$4)&gt;0)*(($M$5="All")+(tbl_projects[Country]=$M$5)&gt;0)*(($M$6="All")+(tbl_projects[Risk_Level]=$M$6)&gt;0)*(($M$7="All")+(tbl_projects[Project_Manager]=$M$7)&gt;0)*(tbl_projects[Country]="Italy")*tbl_projects[CAPEX])/1000000</f>
        <v>575</v>
      </c>
      <c r="H14" s="38"/>
      <c r="I14" s="38"/>
      <c r="J14" s="38"/>
      <c r="K14" s="38"/>
      <c r="L14" s="107"/>
      <c r="M14" s="107"/>
    </row>
    <row r="15" spans="2:16" ht="19.95" customHeight="1" x14ac:dyDescent="0.3">
      <c r="B15" s="108"/>
      <c r="C15" s="19"/>
      <c r="D15" s="108"/>
      <c r="E15" s="19"/>
      <c r="F15" s="108"/>
      <c r="G15" s="19"/>
      <c r="H15" s="19"/>
      <c r="I15" s="19"/>
      <c r="J15" s="19"/>
      <c r="K15" s="19"/>
      <c r="L15" s="109"/>
      <c r="M15" s="109"/>
    </row>
    <row r="16" spans="2:16" ht="19.95" customHeight="1" x14ac:dyDescent="0.3">
      <c r="B16" s="19"/>
      <c r="C16" s="19"/>
      <c r="D16" s="19"/>
      <c r="E16" s="19"/>
      <c r="F16" s="19"/>
      <c r="G16" s="19"/>
      <c r="H16" s="19"/>
      <c r="I16" s="19"/>
      <c r="J16" s="19"/>
      <c r="K16" s="19"/>
      <c r="L16" s="109"/>
      <c r="M16" s="109"/>
    </row>
    <row r="17" spans="2:13" ht="19.95" customHeight="1" x14ac:dyDescent="0.3">
      <c r="B17" s="19"/>
      <c r="C17" s="19"/>
      <c r="D17" s="19"/>
      <c r="E17" s="19"/>
      <c r="F17" s="19"/>
      <c r="G17" s="19"/>
      <c r="H17" s="19"/>
      <c r="I17" s="19"/>
      <c r="J17" s="19"/>
      <c r="K17" s="19"/>
      <c r="L17" s="109"/>
      <c r="M17" s="109"/>
    </row>
    <row r="18" spans="2:13" ht="19.95" customHeight="1" x14ac:dyDescent="0.3">
      <c r="B18" s="19"/>
      <c r="C18" s="19"/>
      <c r="D18" s="19"/>
      <c r="E18" s="19"/>
      <c r="F18" s="19"/>
      <c r="G18" s="19"/>
      <c r="H18" s="19"/>
      <c r="I18" s="19"/>
      <c r="J18" s="19"/>
      <c r="K18" s="19"/>
      <c r="L18" s="109"/>
      <c r="M18" s="109"/>
    </row>
    <row r="19" spans="2:13" ht="19.95" customHeight="1" x14ac:dyDescent="0.3">
      <c r="B19" s="19"/>
      <c r="C19" s="19"/>
      <c r="D19" s="19"/>
      <c r="E19" s="19"/>
      <c r="F19" s="19"/>
      <c r="G19" s="19"/>
      <c r="H19" s="19"/>
      <c r="I19" s="19"/>
      <c r="J19" s="19"/>
      <c r="K19" s="19"/>
      <c r="L19" s="19"/>
      <c r="M19" s="19"/>
    </row>
    <row r="20" spans="2:13" ht="19.95" customHeight="1" x14ac:dyDescent="0.3">
      <c r="B20" s="19"/>
      <c r="C20" s="19"/>
      <c r="D20" s="19"/>
      <c r="E20" s="19"/>
      <c r="F20" s="19"/>
      <c r="G20" s="19"/>
      <c r="H20" s="19"/>
      <c r="I20" s="19"/>
      <c r="J20" s="19"/>
      <c r="K20" s="19"/>
      <c r="L20" s="110"/>
      <c r="M20" s="109"/>
    </row>
    <row r="21" spans="2:13" ht="19.95" customHeight="1" x14ac:dyDescent="0.3">
      <c r="B21" s="19"/>
      <c r="C21" s="19"/>
      <c r="D21" s="19"/>
      <c r="E21" s="19"/>
      <c r="F21" s="19"/>
      <c r="G21" s="19"/>
      <c r="H21" s="19"/>
      <c r="I21" s="19"/>
      <c r="J21" s="19"/>
      <c r="K21" s="19"/>
      <c r="L21" s="19"/>
      <c r="M21" s="19"/>
    </row>
    <row r="22" spans="2:13" ht="19.95" customHeight="1" x14ac:dyDescent="0.3">
      <c r="B22" s="19"/>
      <c r="C22" s="19"/>
      <c r="D22" s="19"/>
      <c r="E22" s="19"/>
      <c r="F22" s="19"/>
      <c r="G22" s="19"/>
      <c r="H22" s="19"/>
      <c r="I22" s="19"/>
      <c r="J22" s="19"/>
      <c r="K22" s="19"/>
      <c r="L22" s="19"/>
      <c r="M22" s="19"/>
    </row>
    <row r="23" spans="2:13" ht="19.95" customHeight="1" x14ac:dyDescent="0.3">
      <c r="B23" s="19"/>
      <c r="C23" s="19"/>
      <c r="D23" s="19"/>
      <c r="E23" s="19"/>
      <c r="F23" s="19"/>
      <c r="G23" s="19"/>
      <c r="H23" s="19"/>
      <c r="I23" s="19"/>
      <c r="J23" s="19"/>
      <c r="K23" s="19"/>
      <c r="L23" s="19"/>
      <c r="M23" s="19"/>
    </row>
    <row r="24" spans="2:13" ht="19.95" customHeight="1" x14ac:dyDescent="0.3">
      <c r="B24" s="19"/>
      <c r="C24" s="19"/>
      <c r="D24" s="19"/>
      <c r="E24" s="19"/>
      <c r="F24" s="19"/>
      <c r="G24" s="19"/>
      <c r="H24" s="19"/>
      <c r="I24" s="19"/>
      <c r="J24" s="19"/>
      <c r="K24" s="19"/>
      <c r="L24" s="19"/>
      <c r="M24" s="19"/>
    </row>
    <row r="25" spans="2:13" ht="19.95" customHeight="1" x14ac:dyDescent="0.3">
      <c r="B25" s="111" t="s">
        <v>548</v>
      </c>
      <c r="C25" s="30"/>
      <c r="D25" s="30"/>
      <c r="E25" s="111" t="s">
        <v>543</v>
      </c>
      <c r="F25" s="30"/>
      <c r="G25" s="19"/>
      <c r="H25" s="96"/>
      <c r="I25" s="19"/>
      <c r="J25" s="19"/>
      <c r="K25" s="19"/>
      <c r="L25" s="19"/>
      <c r="M25" s="19"/>
    </row>
    <row r="26" spans="2:13" ht="19.95" customHeight="1" x14ac:dyDescent="0.3">
      <c r="B26" s="19"/>
      <c r="C26" s="19"/>
      <c r="D26" s="19"/>
      <c r="E26" s="19"/>
      <c r="F26" s="19"/>
      <c r="G26" s="19"/>
      <c r="H26" s="99" t="s">
        <v>3</v>
      </c>
      <c r="I26" s="99" t="s">
        <v>512</v>
      </c>
      <c r="J26" s="99" t="s">
        <v>436</v>
      </c>
      <c r="K26" s="99" t="s">
        <v>540</v>
      </c>
      <c r="L26" s="19"/>
      <c r="M26" s="19"/>
    </row>
    <row r="27" spans="2:13" ht="19.95" customHeight="1" x14ac:dyDescent="0.3">
      <c r="B27" s="19"/>
      <c r="C27" s="19"/>
      <c r="D27" s="19"/>
      <c r="E27" s="19"/>
      <c r="F27" s="19"/>
      <c r="G27" s="19"/>
      <c r="H27" s="38" t="s">
        <v>439</v>
      </c>
      <c r="I27" s="102" cm="1">
        <f t="array" ref="I27">SUMPRODUCT((($M$3="All")+(tbl_projects[Status]=$M$3)&gt;0)*(($M$4="All")+(tbl_projects[Technology_Type_Clean]=$M$4)&gt;0)*(($M$5="All")+(tbl_projects[Country]=$M$5)&gt;0)*(($M$6="All")+(tbl_projects[Risk_Level]=$M$6)&gt;0)*(($M$7="All")+(tbl_projects[Project_Manager]=$M$7)&gt;0)*(tbl_projects[Technology_Type_Clean]="Hybrid")*tbl_projects[CAPEX])/1000000</f>
        <v>1265</v>
      </c>
      <c r="J27" s="112" cm="1">
        <f t="array" ref="J27">IFERROR(SUMPRODUCT((($M$3="All")+(tbl_projects[Status]=$M$3)&gt;0)*(($M$4="All")+(tbl_projects[Technology_Type_Clean]=$M$4)&gt;0)*(($M$5="All")+(tbl_projects[Country]=$M$5)&gt;0)*(($M$6="All")+(tbl_projects[Risk_Level]=$M$6)&gt;0)*(($M$7="All")+(tbl_projects[Project_Manager]=$M$7)&gt;0)*(tbl_projects[Technology_Type_Clean]="Hybrid")*tbl_projects[ROI])/SUMPRODUCT((($M$3="All")+(tbl_projects[Status]=$M$3)&gt;0)*(($M$4="All")+(tbl_projects[Technology_Type_Clean]=$M$4)&gt;0)*(($M$5="All")+(tbl_projects[Country]=$M$5)&gt;0)*(($M$6="All")+(tbl_projects[Risk_Level]=$M$6)&gt;0)*(($M$7="All")+(tbl_projects[Project_Manager]=$M$7)&gt;0)*(tbl_projects[Technology_Type_Clean]="Hybrid")*1),0)</f>
        <v>0.15698058055555555</v>
      </c>
      <c r="K27" s="38" cm="1">
        <f t="array" ref="K27">SUMPRODUCT((($M$3="All")+(tbl_projects[Status]=$M$3)&gt;0)*(($M$4="All")+(tbl_projects[Technology_Type_Clean]=$M$4)&gt;0)*(($M$5="All")+(tbl_projects[Country]=$M$5)&gt;0)*(($M$6="All")+(tbl_projects[Risk_Level]=$M$6)&gt;0)*(($M$7="All")+(tbl_projects[Project_Manager]=$M$7)&gt;0)*(tbl_projects[Technology_Type_Clean]="Hybrid")*tbl_projects[Capacity_MW])</f>
        <v>1150</v>
      </c>
      <c r="L27" s="19"/>
      <c r="M27" s="19"/>
    </row>
    <row r="28" spans="2:13" ht="19.95" customHeight="1" x14ac:dyDescent="0.3">
      <c r="B28" s="19"/>
      <c r="C28" s="19"/>
      <c r="D28" s="19"/>
      <c r="E28" s="19"/>
      <c r="F28" s="19"/>
      <c r="G28" s="19"/>
      <c r="H28" s="38" t="s">
        <v>18</v>
      </c>
      <c r="I28" s="102" cm="1">
        <f t="array" ref="I28">SUMPRODUCT((($M$3="All")+(tbl_projects[Status]=$M$3)&gt;0)*(($M$4="All")+(tbl_projects[Technology_Type_Clean]=$M$4)&gt;0)*(($M$5="All")+(tbl_projects[Country]=$M$5)&gt;0)*(($M$6="All")+(tbl_projects[Risk_Level]=$M$6)&gt;0)*(($M$7="All")+(tbl_projects[Project_Manager]=$M$7)&gt;0)*(tbl_projects[Technology_Type_Clean]="Wind")*tbl_projects[CAPEX])/1000000</f>
        <v>525</v>
      </c>
      <c r="J28" s="112" cm="1">
        <f t="array" ref="J28">IFERROR(SUMPRODUCT((($M$3="All")+(tbl_projects[Status]=$M$3)&gt;0)*(($M$4="All")+(tbl_projects[Technology_Type_Clean]=$M$4)&gt;0)*(($M$5="All")+(tbl_projects[Country]=$M$5)&gt;0)*(($M$6="All")+(tbl_projects[Risk_Level]=$M$6)&gt;0)*(($M$7="All")+(tbl_projects[Project_Manager]=$M$7)&gt;0)*(tbl_projects[Technology_Type_Clean]="Wind")*tbl_projects[ROI])/SUMPRODUCT((($M$3="All")+(tbl_projects[Status]=$M$3)&gt;0)*(($M$4="All")+(tbl_projects[Technology_Type_Clean]=$M$4)&gt;0)*(($M$5="All")+(tbl_projects[Country]=$M$5)&gt;0)*(($M$6="All")+(tbl_projects[Risk_Level]=$M$6)&gt;0)*(($M$7="All")+(tbl_projects[Project_Manager]=$M$7)&gt;0)*(tbl_projects[Technology_Type_Clean]="Wind")*1),0)</f>
        <v>0.1295338</v>
      </c>
      <c r="K28" s="38" cm="1">
        <f t="array" ref="K28">SUMPRODUCT((($M$3="All")+(tbl_projects[Status]=$M$3)&gt;0)*(($M$4="All")+(tbl_projects[Technology_Type_Clean]=$M$4)&gt;0)*(($M$5="All")+(tbl_projects[Country]=$M$5)&gt;0)*(($M$6="All")+(tbl_projects[Risk_Level]=$M$6)&gt;0)*(($M$7="All")+(tbl_projects[Project_Manager]=$M$7)&gt;0)*(tbl_projects[Technology_Type_Clean]="Wind")*tbl_projects[Capacity_MW])</f>
        <v>330</v>
      </c>
      <c r="L28" s="19"/>
      <c r="M28" s="19"/>
    </row>
    <row r="29" spans="2:13" ht="19.95" customHeight="1" x14ac:dyDescent="0.3">
      <c r="B29" s="19"/>
      <c r="C29" s="19"/>
      <c r="D29" s="19"/>
      <c r="E29" s="19"/>
      <c r="F29" s="19"/>
      <c r="G29" s="19"/>
      <c r="H29" s="38" t="s">
        <v>17</v>
      </c>
      <c r="I29" s="102" cm="1">
        <f t="array" ref="I29">SUMPRODUCT((($M$3="All")+(tbl_projects[Status]=$M$3)&gt;0)*(($M$4="All")+(tbl_projects[Technology_Type_Clean]=$M$4)&gt;0)*(($M$5="All")+(tbl_projects[Country]=$M$5)&gt;0)*(($M$6="All")+(tbl_projects[Risk_Level]=$M$6)&gt;0)*(($M$7="All")+(tbl_projects[Project_Manager]=$M$7)&gt;0)*(tbl_projects[Technology_Type_Clean]="Solar")*tbl_projects[CAPEX])/1000000</f>
        <v>190</v>
      </c>
      <c r="J29" s="112" cm="1">
        <f t="array" ref="J29">IFERROR(SUMPRODUCT((($M$3="All")+(tbl_projects[Status]=$M$3)&gt;0)*(($M$4="All")+(tbl_projects[Technology_Type_Clean]=$M$4)&gt;0)*(($M$5="All")+(tbl_projects[Country]=$M$5)&gt;0)*(($M$6="All")+(tbl_projects[Risk_Level]=$M$6)&gt;0)*(($M$7="All")+(tbl_projects[Project_Manager]=$M$7)&gt;0)*(tbl_projects[Technology_Type_Clean]="Solar")*tbl_projects[ROI])/SUMPRODUCT((($M$3="All")+(tbl_projects[Status]=$M$3)&gt;0)*(($M$4="All")+(tbl_projects[Technology_Type_Clean]=$M$4)&gt;0)*(($M$5="All")+(tbl_projects[Country]=$M$5)&gt;0)*(($M$6="All")+(tbl_projects[Risk_Level]=$M$6)&gt;0)*(($M$7="All")+(tbl_projects[Project_Manager]=$M$7)&gt;0)*(tbl_projects[Technology_Type_Clean]="Solar")*1),0)</f>
        <v>0.12807573333333333</v>
      </c>
      <c r="K29" s="38" cm="1">
        <f t="array" ref="K29">SUMPRODUCT((($M$3="All")+(tbl_projects[Status]=$M$3)&gt;0)*(($M$4="All")+(tbl_projects[Technology_Type_Clean]=$M$4)&gt;0)*(($M$5="All")+(tbl_projects[Country]=$M$5)&gt;0)*(($M$6="All")+(tbl_projects[Risk_Level]=$M$6)&gt;0)*(($M$7="All")+(tbl_projects[Project_Manager]=$M$7)&gt;0)*(tbl_projects[Technology_Type_Clean]="Solar")*tbl_projects[Capacity_MW])</f>
        <v>220</v>
      </c>
      <c r="L29" s="19"/>
      <c r="M29" s="19"/>
    </row>
    <row r="30" spans="2:13" ht="19.95" customHeight="1" x14ac:dyDescent="0.3">
      <c r="B30" s="19"/>
      <c r="C30" s="19"/>
      <c r="D30" s="19"/>
      <c r="E30" s="19"/>
      <c r="F30" s="19"/>
      <c r="G30" s="19"/>
      <c r="H30" s="38" t="s">
        <v>493</v>
      </c>
      <c r="I30" s="102" cm="1">
        <f t="array" ref="I30">SUMPRODUCT((($M$3="All")+(tbl_projects[Status]=$M$3)&gt;0)*(($M$4="All")+(tbl_projects[Technology_Type_Clean]=$M$4)&gt;0)*(($M$5="All")+(tbl_projects[Country]=$M$5)&gt;0)*(($M$6="All")+(tbl_projects[Risk_Level]=$M$6)&gt;0)*(($M$7="All")+(tbl_projects[Project_Manager]=$M$7)&gt;0)*(tbl_projects[Technology_Type_Clean]="H2")*tbl_projects[CAPEX])/1000000</f>
        <v>110</v>
      </c>
      <c r="J30" s="112" cm="1">
        <f t="array" ref="J30">IFERROR(SUMPRODUCT((($M$3="All")+(tbl_projects[Status]=$M$3)&gt;0)*(($M$4="All")+(tbl_projects[Technology_Type_Clean]=$M$4)&gt;0)*(($M$5="All")+(tbl_projects[Country]=$M$5)&gt;0)*(($M$6="All")+(tbl_projects[Risk_Level]=$M$6)&gt;0)*(($M$7="All")+(tbl_projects[Project_Manager]=$M$7)&gt;0)*(tbl_projects[Technology_Type_Clean]="H2")*tbl_projects[ROI])/SUMPRODUCT((($M$3="All")+(tbl_projects[Status]=$M$3)&gt;0)*(($M$4="All")+(tbl_projects[Technology_Type_Clean]=$M$4)&gt;0)*(($M$5="All")+(tbl_projects[Country]=$M$5)&gt;0)*(($M$6="All")+(tbl_projects[Risk_Level]=$M$6)&gt;0)*(($M$7="All")+(tbl_projects[Project_Manager]=$M$7)&gt;0)*(tbl_projects[Technology_Type_Clean]="H2")*1),0)</f>
        <v>0.22741500000000003</v>
      </c>
      <c r="K30" s="38" cm="1">
        <f t="array" ref="K30">SUMPRODUCT((($M$3="All")+(tbl_projects[Status]=$M$3)&gt;0)*(($M$4="All")+(tbl_projects[Technology_Type_Clean]=$M$4)&gt;0)*(($M$5="All")+(tbl_projects[Country]=$M$5)&gt;0)*(($M$6="All")+(tbl_projects[Risk_Level]=$M$6)&gt;0)*(($M$7="All")+(tbl_projects[Project_Manager]=$M$7)&gt;0)*(tbl_projects[Technology_Type_Clean]="H2")*tbl_projects[Capacity_MW])</f>
        <v>90</v>
      </c>
      <c r="L30" s="19"/>
      <c r="M30" s="19"/>
    </row>
    <row r="31" spans="2:13" ht="19.95" customHeight="1" x14ac:dyDescent="0.3">
      <c r="B31" s="19"/>
      <c r="C31" s="19"/>
      <c r="D31" s="19"/>
      <c r="E31" s="19"/>
      <c r="F31" s="19"/>
      <c r="G31" s="19"/>
      <c r="H31" s="19"/>
      <c r="I31" s="19"/>
      <c r="J31" s="19"/>
      <c r="K31" s="19"/>
      <c r="L31" s="19"/>
      <c r="M31" s="19"/>
    </row>
    <row r="32" spans="2:13" ht="19.95" customHeight="1" x14ac:dyDescent="0.3">
      <c r="B32" s="19"/>
      <c r="C32" s="19"/>
      <c r="D32" s="19"/>
      <c r="E32" s="19"/>
      <c r="F32" s="19"/>
      <c r="G32" s="19"/>
      <c r="H32" s="19"/>
      <c r="I32" s="19"/>
      <c r="J32" s="19"/>
      <c r="K32" s="19"/>
      <c r="L32" s="19"/>
      <c r="M32" s="19"/>
    </row>
    <row r="33" spans="2:13" ht="19.95" customHeight="1" x14ac:dyDescent="0.3">
      <c r="B33" s="19"/>
      <c r="C33" s="19"/>
      <c r="D33" s="19"/>
      <c r="E33" s="19"/>
      <c r="F33" s="19"/>
      <c r="G33" s="19"/>
      <c r="H33" s="19"/>
      <c r="I33" s="19"/>
      <c r="J33" s="19"/>
      <c r="K33" s="19"/>
      <c r="L33" s="19"/>
      <c r="M33" s="19"/>
    </row>
    <row r="34" spans="2:13" ht="10.050000000000001" customHeight="1" x14ac:dyDescent="0.3">
      <c r="B34" s="19"/>
      <c r="C34" s="19"/>
      <c r="D34" s="19"/>
      <c r="E34" s="19"/>
      <c r="F34" s="19"/>
      <c r="G34" s="19"/>
      <c r="H34" s="19"/>
      <c r="I34" s="19"/>
      <c r="J34" s="19"/>
      <c r="K34" s="19"/>
      <c r="L34" s="19"/>
      <c r="M34" s="19"/>
    </row>
    <row r="35" spans="2:13" ht="25.05" customHeight="1" x14ac:dyDescent="0.3">
      <c r="B35" s="30" t="s">
        <v>537</v>
      </c>
      <c r="C35" s="19"/>
      <c r="D35" s="19"/>
      <c r="E35" s="19"/>
      <c r="F35" s="19"/>
      <c r="G35" s="19"/>
      <c r="H35" s="19"/>
      <c r="I35" s="19"/>
      <c r="J35" s="19"/>
      <c r="K35" s="19"/>
      <c r="L35" s="19"/>
      <c r="M35" s="19"/>
    </row>
    <row r="36" spans="2:13" ht="18.600000000000001" customHeight="1" x14ac:dyDescent="0.3">
      <c r="B36" s="113" t="s">
        <v>494</v>
      </c>
      <c r="C36" s="113" t="s">
        <v>513</v>
      </c>
      <c r="D36" s="113" t="s">
        <v>2</v>
      </c>
      <c r="E36" s="113" t="s">
        <v>11</v>
      </c>
      <c r="F36" s="19"/>
      <c r="G36" s="19"/>
      <c r="H36" s="30" t="s">
        <v>535</v>
      </c>
      <c r="I36" s="19"/>
      <c r="J36" s="19"/>
      <c r="K36" s="19"/>
      <c r="L36" s="19"/>
      <c r="M36" s="19"/>
    </row>
    <row r="37" spans="2:13" ht="28.2" customHeight="1" x14ac:dyDescent="0.3">
      <c r="B37" s="114">
        <v>1</v>
      </c>
      <c r="C37" s="114" t="str">
        <f>INDEX(Projects_Data!B:B,MATCH(LARGE(Projects_Data!R$2:R$13,1),Projects_Data!R:R,0))</f>
        <v>Iberia Hydrogen Hub</v>
      </c>
      <c r="D37" s="114" t="str">
        <f>INDEX(Projects_Data!C:C,MATCH(C37,Projects_Data!B:B,0))</f>
        <v>Spain</v>
      </c>
      <c r="E37" s="115">
        <f>LARGE(Projects_Data!R$2:R$13,1)</f>
        <v>0.23908000000000004</v>
      </c>
      <c r="F37" s="19"/>
      <c r="G37" s="19"/>
      <c r="H37" s="113" t="s">
        <v>514</v>
      </c>
      <c r="I37" s="113" t="s">
        <v>515</v>
      </c>
      <c r="J37" s="113" t="s">
        <v>516</v>
      </c>
      <c r="K37" s="19"/>
      <c r="L37" s="19"/>
      <c r="M37" s="19"/>
    </row>
    <row r="38" spans="2:13" ht="25.05" customHeight="1" x14ac:dyDescent="0.3">
      <c r="B38" s="27">
        <v>2</v>
      </c>
      <c r="C38" s="27" t="str">
        <f>INDEX(Projects_Data!B:B,MATCH(LARGE(Projects_Data!R$2:R$13,2),Projects_Data!R:R,0))</f>
        <v>Spain Hydrogen Hub</v>
      </c>
      <c r="D38" s="27" t="str">
        <f>INDEX(Projects_Data!C:C,MATCH(C38,Projects_Data!B:B,0))</f>
        <v>Spain</v>
      </c>
      <c r="E38" s="116">
        <f>LARGE(Projects_Data!R$2:R$13,2)</f>
        <v>0.21575</v>
      </c>
      <c r="F38" s="19"/>
      <c r="G38" s="19"/>
      <c r="H38" s="117" t="s">
        <v>517</v>
      </c>
      <c r="I38" s="117">
        <f>COUNTIF(Projects_Data!T:T,"High")</f>
        <v>5</v>
      </c>
      <c r="J38" s="118">
        <f>SUMIF(Projects_Data!T2:T13,"High",Projects_Data!K2:K13)</f>
        <v>875000000</v>
      </c>
      <c r="K38" s="19"/>
      <c r="L38" s="19"/>
      <c r="M38" s="19"/>
    </row>
    <row r="39" spans="2:13" ht="22.05" customHeight="1" x14ac:dyDescent="0.3">
      <c r="B39" s="114">
        <v>3</v>
      </c>
      <c r="C39" s="114" t="str">
        <f>INDEX(Projects_Data!B:B,MATCH(LARGE(Projects_Data!R$2:R$13,3),Projects_Data!R:R,0))</f>
        <v>Alentejo Solar Storage Project</v>
      </c>
      <c r="D39" s="114" t="str">
        <f>INDEX(Projects_Data!C:C,MATCH(C39,Projects_Data!B:B,0))</f>
        <v>Portugal</v>
      </c>
      <c r="E39" s="115">
        <f>LARGE(Projects_Data!R$2:R$13,3)</f>
        <v>0.178955</v>
      </c>
      <c r="F39" s="19"/>
      <c r="G39" s="19"/>
      <c r="H39" s="119" t="s">
        <v>518</v>
      </c>
      <c r="I39" s="119">
        <f>COUNTIF(Projects_Data!T:T,"Medium")</f>
        <v>6</v>
      </c>
      <c r="J39" s="120">
        <f>SUMIF(Projects_Data!T2:T13,"Medium",Projects_Data!K2:K13)</f>
        <v>1125000000</v>
      </c>
      <c r="K39" s="19"/>
      <c r="L39" s="19"/>
      <c r="M39" s="19"/>
    </row>
    <row r="40" spans="2:13" ht="22.05" customHeight="1" x14ac:dyDescent="0.3">
      <c r="B40" s="27">
        <v>4</v>
      </c>
      <c r="C40" s="27" t="str">
        <f>INDEX(Projects_Data!B:B,MATCH(LARGE(Projects_Data!R$2:R$13,4),Projects_Data!R:R,0))</f>
        <v>Golden Opportunity</v>
      </c>
      <c r="D40" s="27" t="str">
        <f>INDEX(Projects_Data!C:C,MATCH(C40,Projects_Data!B:B,0))</f>
        <v>Portugal</v>
      </c>
      <c r="E40" s="116">
        <f>LARGE(Projects_Data!R$2:R$13,4)</f>
        <v>0.16277333333333338</v>
      </c>
      <c r="F40" s="19"/>
      <c r="G40" s="19"/>
      <c r="H40" s="121" t="s">
        <v>519</v>
      </c>
      <c r="I40" s="121">
        <f>COUNTIF(Projects_Data!T:T,"Low")</f>
        <v>1</v>
      </c>
      <c r="J40" s="122">
        <f>SUMIF(Projects_Data!T2:T13,"Low",Projects_Data!K2:K13)</f>
        <v>90000000</v>
      </c>
      <c r="K40" s="19"/>
      <c r="L40" s="19"/>
      <c r="M40" s="19"/>
    </row>
    <row r="41" spans="2:13" ht="22.05" customHeight="1" x14ac:dyDescent="0.3">
      <c r="B41" s="114">
        <v>5</v>
      </c>
      <c r="C41" s="114" t="str">
        <f>INDEX(Projects_Data!B:B,MATCH(LARGE(Projects_Data!R$2:R$13,5),Projects_Data!R:R,0))</f>
        <v>Alentejo Green Energy Hub</v>
      </c>
      <c r="D41" s="114" t="str">
        <f>INDEX(Projects_Data!C:C,MATCH(C41,Projects_Data!B:B,0))</f>
        <v>Portugal</v>
      </c>
      <c r="E41" s="115">
        <f>LARGE(Projects_Data!R$2:R$13,5)</f>
        <v>0.15895999999999999</v>
      </c>
      <c r="F41" s="19"/>
      <c r="G41" s="19"/>
      <c r="H41" s="19"/>
      <c r="I41" s="19"/>
      <c r="J41" s="19"/>
      <c r="K41" s="19"/>
      <c r="L41" s="19"/>
      <c r="M41" s="19"/>
    </row>
    <row r="42" spans="2:13" ht="10.050000000000001" customHeight="1" x14ac:dyDescent="0.3">
      <c r="B42" s="19"/>
      <c r="C42" s="19"/>
      <c r="D42" s="19"/>
      <c r="E42" s="19"/>
      <c r="F42" s="19"/>
      <c r="G42" s="19"/>
      <c r="H42" s="19"/>
      <c r="I42" s="19"/>
      <c r="J42" s="19"/>
      <c r="K42" s="19"/>
      <c r="L42" s="19"/>
      <c r="M42" s="19"/>
    </row>
    <row r="43" spans="2:13" hidden="1" x14ac:dyDescent="0.3">
      <c r="B43" s="30" t="s">
        <v>520</v>
      </c>
      <c r="C43" s="19"/>
      <c r="D43" s="19"/>
      <c r="E43" s="19"/>
      <c r="F43" s="30" t="s">
        <v>523</v>
      </c>
      <c r="G43" s="19"/>
      <c r="H43" s="19"/>
      <c r="I43" s="19"/>
      <c r="J43" s="19"/>
      <c r="K43" s="19"/>
      <c r="L43" s="19"/>
      <c r="M43" s="19"/>
    </row>
    <row r="44" spans="2:13" hidden="1" x14ac:dyDescent="0.3">
      <c r="B44" s="113" t="s">
        <v>521</v>
      </c>
      <c r="C44" s="113" t="s">
        <v>515</v>
      </c>
      <c r="D44" s="113" t="s">
        <v>522</v>
      </c>
      <c r="E44" s="19"/>
      <c r="F44" s="113" t="s">
        <v>524</v>
      </c>
      <c r="G44" s="113" t="s">
        <v>525</v>
      </c>
      <c r="H44" s="113" t="s">
        <v>526</v>
      </c>
      <c r="I44" s="113" t="s">
        <v>527</v>
      </c>
      <c r="J44" s="19"/>
      <c r="K44" s="19"/>
      <c r="L44" s="19"/>
      <c r="M44" s="19"/>
    </row>
    <row r="45" spans="2:13" hidden="1" x14ac:dyDescent="0.3">
      <c r="B45" s="114" t="s">
        <v>51</v>
      </c>
      <c r="C45" s="114">
        <f>COUNTIF(Projects_Data!S:S,B45)</f>
        <v>2</v>
      </c>
      <c r="D45" s="123">
        <f>SUMIF(Projects_Data!S2:S13,"Miguel",Projects_Data!K2:K13)</f>
        <v>550000000</v>
      </c>
      <c r="E45" s="19"/>
      <c r="F45" s="114" t="s">
        <v>528</v>
      </c>
      <c r="G45" s="124">
        <f>MIN(Projects_Data!G2:G13)</f>
        <v>44946</v>
      </c>
      <c r="H45" s="124">
        <f>MAX(Projects_Data!G2:G13)</f>
        <v>45511</v>
      </c>
      <c r="I45" s="114" t="s">
        <v>538</v>
      </c>
      <c r="J45" s="19"/>
      <c r="K45" s="19"/>
      <c r="L45" s="19"/>
      <c r="M45" s="19"/>
    </row>
    <row r="46" spans="2:13" hidden="1" x14ac:dyDescent="0.3">
      <c r="B46" s="27" t="s">
        <v>53</v>
      </c>
      <c r="C46" s="27">
        <f>COUNTIF(Projects_Data!S:S,B46)</f>
        <v>2</v>
      </c>
      <c r="D46" s="125">
        <f>SUMIF(Projects_Data!S2:S13,"Francisco",Projects_Data!K2:K13)</f>
        <v>340000000</v>
      </c>
      <c r="E46" s="19"/>
      <c r="F46" s="27" t="s">
        <v>541</v>
      </c>
      <c r="G46" s="126">
        <f>MIN(Projects_Data!H2:H13)</f>
        <v>45691</v>
      </c>
      <c r="H46" s="126">
        <f>MAX(Projects_Data!H2:H13)</f>
        <v>46093</v>
      </c>
      <c r="I46" s="27" t="s">
        <v>538</v>
      </c>
      <c r="J46" s="19"/>
      <c r="K46" s="19"/>
      <c r="L46" s="19"/>
      <c r="M46" s="19"/>
    </row>
    <row r="47" spans="2:13" hidden="1" x14ac:dyDescent="0.3">
      <c r="B47" s="114" t="s">
        <v>52</v>
      </c>
      <c r="C47" s="114">
        <f>COUNTIF(Projects_Data!S:S,B47)</f>
        <v>2</v>
      </c>
      <c r="D47" s="123">
        <f>SUMIF(Projects_Data!S2:S13,"Mercedes",Projects_Data!K2:K13)</f>
        <v>465000000</v>
      </c>
      <c r="E47" s="19"/>
      <c r="F47" s="114" t="s">
        <v>529</v>
      </c>
      <c r="G47" s="114">
        <f>MIN(Projects_Data!I:I)</f>
        <v>502</v>
      </c>
      <c r="H47" s="114">
        <f>MAX(Projects_Data!I:I)</f>
        <v>1145</v>
      </c>
      <c r="I47" s="114">
        <f>ROUND(AVERAGE(Projects_Data!I:I),0)</f>
        <v>752</v>
      </c>
      <c r="J47" s="19"/>
      <c r="K47" s="19"/>
      <c r="L47" s="19"/>
      <c r="M47" s="19"/>
    </row>
    <row r="48" spans="2:13" x14ac:dyDescent="0.3">
      <c r="B48" s="27" t="s">
        <v>50</v>
      </c>
      <c r="C48" s="27">
        <f>COUNTIF(Projects_Data!S:S,B48)</f>
        <v>2</v>
      </c>
      <c r="D48" s="125">
        <f>SUMIF(Projects_Data!S2:S13,"Ricardo",Projects_Data!K2:K13)</f>
        <v>375000000</v>
      </c>
      <c r="E48" s="19"/>
      <c r="F48" s="19"/>
      <c r="G48" s="19"/>
      <c r="H48" s="19"/>
      <c r="I48" s="19"/>
      <c r="J48" s="19"/>
      <c r="K48" s="19"/>
      <c r="L48" s="19"/>
      <c r="M48" s="19"/>
    </row>
    <row r="49" spans="2:13" x14ac:dyDescent="0.3">
      <c r="B49" s="114" t="s">
        <v>54</v>
      </c>
      <c r="C49" s="114">
        <f>COUNTIF(Projects_Data!S:S,B49)</f>
        <v>3</v>
      </c>
      <c r="D49" s="123">
        <f>SUMIF(Projects_Data!S2:S13,"Eva",Projects_Data!K2:K13)</f>
        <v>270000000</v>
      </c>
      <c r="E49" s="19"/>
      <c r="F49" s="19"/>
      <c r="G49" s="19"/>
      <c r="H49" s="19"/>
      <c r="I49" s="19"/>
      <c r="J49" s="19"/>
      <c r="K49" s="19"/>
      <c r="L49" s="19"/>
      <c r="M49" s="19"/>
    </row>
    <row r="50" spans="2:13" x14ac:dyDescent="0.3">
      <c r="B50" s="27" t="s">
        <v>49</v>
      </c>
      <c r="C50" s="27">
        <f>COUNTIF(Projects_Data!S:S,B50)</f>
        <v>1</v>
      </c>
      <c r="D50" s="125">
        <f>SUMIF(Projects_Data!S2:S13,"Ana",Projects_Data!K2:K13)</f>
        <v>90000000</v>
      </c>
      <c r="E50" s="19"/>
      <c r="F50" s="19"/>
      <c r="G50" s="19"/>
      <c r="H50" s="19"/>
      <c r="I50" s="19"/>
      <c r="J50" s="19"/>
      <c r="K50" s="19"/>
      <c r="L50" s="19"/>
      <c r="M50" s="19"/>
    </row>
    <row r="51" spans="2:13" ht="10.050000000000001" customHeight="1" x14ac:dyDescent="0.3">
      <c r="B51" s="19"/>
      <c r="C51" s="19"/>
      <c r="D51" s="19"/>
      <c r="E51" s="19"/>
      <c r="F51" s="19"/>
      <c r="G51" s="19"/>
      <c r="H51" s="19"/>
      <c r="I51" s="19"/>
      <c r="J51" s="19"/>
      <c r="K51" s="19"/>
      <c r="L51" s="19"/>
      <c r="M51" s="19"/>
    </row>
    <row r="52" spans="2:13" x14ac:dyDescent="0.3">
      <c r="B52" s="127" t="s">
        <v>530</v>
      </c>
      <c r="C52" s="128"/>
      <c r="D52" s="128"/>
      <c r="E52" s="128"/>
      <c r="F52" s="128"/>
      <c r="G52" s="128"/>
      <c r="H52" s="128"/>
      <c r="I52" s="129"/>
      <c r="J52" s="19"/>
      <c r="K52" s="19"/>
      <c r="L52" s="19"/>
      <c r="M52" s="19"/>
    </row>
    <row r="53" spans="2:13" x14ac:dyDescent="0.3">
      <c r="B53" s="130" t="str">
        <f>"Total Portfolio: "&amp;TEXT(SUM(Projects_Data!K:K),"#,##0")&amp;" € invested across "&amp;(COUNTA(Projects_Data!A:A)-1)&amp;" projects in "&amp;COUNTA(_xlfn.UNIQUE(Projects_Data!C2:C13))&amp;" countries."</f>
        <v>Total Portfolio: 2090000000,0 € invested across 12 projects in 4 countries.</v>
      </c>
      <c r="C53" s="131"/>
      <c r="D53" s="131"/>
      <c r="E53" s="131"/>
      <c r="F53" s="131"/>
      <c r="G53" s="131"/>
      <c r="H53" s="131"/>
      <c r="I53" s="132"/>
      <c r="J53" s="19"/>
      <c r="K53" s="19"/>
      <c r="L53" s="19"/>
      <c r="M53" s="19"/>
    </row>
    <row r="54" spans="2:13" x14ac:dyDescent="0.3">
      <c r="B54" s="130" t="str">
        <f>"Average project duration: "&amp;ROUND(AVERAGE(Projects_Data!I:I),0)&amp;" days. Expected average ROI: "&amp;TEXT(AVERAGE(Projects_Data!R:R),"0%")&amp;"."</f>
        <v>Average project duration: 752 days. Expected average ROI: 16%.</v>
      </c>
      <c r="C54" s="131"/>
      <c r="D54" s="131"/>
      <c r="E54" s="131"/>
      <c r="F54" s="131"/>
      <c r="G54" s="131"/>
      <c r="H54" s="131"/>
      <c r="I54" s="132"/>
      <c r="J54" s="19"/>
      <c r="K54" s="19"/>
      <c r="L54" s="19"/>
      <c r="M54" s="19"/>
    </row>
    <row r="55" spans="2:13" x14ac:dyDescent="0.3">
      <c r="B55" s="133" t="str">
        <f>"Risk Alert: "&amp;COUNTIF(Projects_Data!T:T,"High")&amp;" high-risk projects representing "&amp;TEXT(SUMIF(Projects_Data!T:T,"High",Projects_Data!K:K)/SUM(Projects_Data!K:K),"0%")&amp;" of total CAPEX."</f>
        <v>Risk Alert: 5 high-risk projects representing 42% of total CAPEX.</v>
      </c>
      <c r="C55" s="134"/>
      <c r="D55" s="134"/>
      <c r="E55" s="134"/>
      <c r="F55" s="134"/>
      <c r="G55" s="134"/>
      <c r="H55" s="134"/>
      <c r="I55" s="135"/>
      <c r="J55" s="19"/>
      <c r="K55" s="19"/>
      <c r="L55" s="19"/>
      <c r="M55" s="19"/>
    </row>
  </sheetData>
  <sheetProtection algorithmName="SHA-512" hashValue="4EXdQqmXrqp3O01zeXW2mCHRSpLXxOZ/+cvKyGsR1YcCe7Z4RYSwPgTSHUcIlVmoDiLhAck3do4j5nYx72I92Q==" saltValue="DNAXqwruirlPmUkCAD7ROw==" spinCount="100000" sheet="1" sort="0" autoFilter="0" pivotTables="0"/>
  <mergeCells count="13">
    <mergeCell ref="L2:M2"/>
    <mergeCell ref="L14:M14"/>
    <mergeCell ref="L15:M15"/>
    <mergeCell ref="B54:I54"/>
    <mergeCell ref="B55:I55"/>
    <mergeCell ref="L10:M10"/>
    <mergeCell ref="L11:M11"/>
    <mergeCell ref="L12:M12"/>
    <mergeCell ref="L16:M16"/>
    <mergeCell ref="L17:M17"/>
    <mergeCell ref="L18:M18"/>
    <mergeCell ref="L20:M20"/>
    <mergeCell ref="B53:I53"/>
  </mergeCells>
  <conditionalFormatting sqref="M3">
    <cfRule type="notContainsText" dxfId="59" priority="1" operator="notContains" text="All">
      <formula>ISERROR(SEARCH("All",M3))</formula>
    </cfRule>
  </conditionalFormatting>
  <conditionalFormatting sqref="M4">
    <cfRule type="notContainsText" dxfId="58" priority="2" operator="notContains" text="All">
      <formula>ISERROR(SEARCH("All",M4))</formula>
    </cfRule>
  </conditionalFormatting>
  <conditionalFormatting sqref="M5">
    <cfRule type="notContainsText" dxfId="57" priority="3" operator="notContains" text="All">
      <formula>ISERROR(SEARCH("All",M5))</formula>
    </cfRule>
  </conditionalFormatting>
  <conditionalFormatting sqref="M6">
    <cfRule type="notContainsText" dxfId="56" priority="4" operator="notContains" text="All">
      <formula>ISERROR(SEARCH("All",M6))</formula>
    </cfRule>
  </conditionalFormatting>
  <conditionalFormatting sqref="M7">
    <cfRule type="notContainsText" dxfId="55" priority="5" operator="notContains" text="All">
      <formula>ISERROR(SEARCH("All",M7))</formula>
    </cfRule>
  </conditionalFormatting>
  <dataValidations count="5">
    <dataValidation type="list" allowBlank="1" showInputMessage="1" showErrorMessage="1" sqref="M3" xr:uid="{351010FB-D060-47A2-B73D-228E4AABC6A1}">
      <formula1>"All,Completed,In Progress,Planned"</formula1>
    </dataValidation>
    <dataValidation type="list" allowBlank="1" showInputMessage="1" showErrorMessage="1" sqref="M4" xr:uid="{89BAC219-F92F-4F9C-8F80-C46558ADB4E9}">
      <formula1>"All,Hybrid,Solar,Wind,H2"</formula1>
    </dataValidation>
    <dataValidation type="list" allowBlank="1" showInputMessage="1" showErrorMessage="1" sqref="M5" xr:uid="{85478C57-511E-4F6F-AA22-E6979E862CEA}">
      <formula1>"All,Portugal,Spain,France,Italy"</formula1>
    </dataValidation>
    <dataValidation type="list" allowBlank="1" showInputMessage="1" showErrorMessage="1" sqref="M6" xr:uid="{D1771D50-A1D1-4593-B188-78B5C1DBBF01}">
      <formula1>"All,High,Medium,Low"</formula1>
    </dataValidation>
    <dataValidation type="list" allowBlank="1" showInputMessage="1" showErrorMessage="1" sqref="M7" xr:uid="{AEE435E8-91DA-4183-A94C-0A76F63E4DA6}">
      <formula1>"All,Ana,Eva,Francisco,Mercedes,Miguel,Ricardo"</formula1>
    </dataValidation>
  </dataValidations>
  <printOptions horizontalCentered="1"/>
  <pageMargins left="0.5" right="0.5" top="0.5" bottom="0.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ClearAllFilters">
                <anchor moveWithCells="1" sizeWithCells="1">
                  <from>
                    <xdr:col>11</xdr:col>
                    <xdr:colOff>198120</xdr:colOff>
                    <xdr:row>9</xdr:row>
                    <xdr:rowOff>68580</xdr:rowOff>
                  </from>
                  <to>
                    <xdr:col>11</xdr:col>
                    <xdr:colOff>1455420</xdr:colOff>
                    <xdr:row>10</xdr:row>
                    <xdr:rowOff>106680</xdr:rowOff>
                  </to>
                </anchor>
              </controlPr>
            </control>
          </mc:Choice>
        </mc:AlternateContent>
        <mc:AlternateContent xmlns:mc="http://schemas.openxmlformats.org/markup-compatibility/2006">
          <mc:Choice Requires="x14">
            <control shapeId="11267" r:id="rId5" name="Button 3">
              <controlPr defaultSize="0" print="0" autoFill="0" autoPict="0" macro="[0]!ExportToPDF">
                <anchor moveWithCells="1" sizeWithCells="1">
                  <from>
                    <xdr:col>11</xdr:col>
                    <xdr:colOff>1554480</xdr:colOff>
                    <xdr:row>9</xdr:row>
                    <xdr:rowOff>68580</xdr:rowOff>
                  </from>
                  <to>
                    <xdr:col>12</xdr:col>
                    <xdr:colOff>1165860</xdr:colOff>
                    <xdr:row>10</xdr:row>
                    <xdr:rowOff>106680</xdr:rowOff>
                  </to>
                </anchor>
              </controlPr>
            </control>
          </mc:Choice>
        </mc:AlternateContent>
        <mc:AlternateContent xmlns:mc="http://schemas.openxmlformats.org/markup-compatibility/2006">
          <mc:Choice Requires="x14">
            <control shapeId="11268" r:id="rId6" name="Button 4">
              <controlPr defaultSize="0" print="0" autoFill="0" autoPict="0" macro="[0]!ExportToPowerPoint">
                <anchor moveWithCells="1" sizeWithCells="1">
                  <from>
                    <xdr:col>11</xdr:col>
                    <xdr:colOff>1539240</xdr:colOff>
                    <xdr:row>10</xdr:row>
                    <xdr:rowOff>213360</xdr:rowOff>
                  </from>
                  <to>
                    <xdr:col>12</xdr:col>
                    <xdr:colOff>1150620</xdr:colOff>
                    <xdr:row>11</xdr:row>
                    <xdr:rowOff>251460</xdr:rowOff>
                  </to>
                </anchor>
              </controlPr>
            </control>
          </mc:Choice>
        </mc:AlternateContent>
        <mc:AlternateContent xmlns:mc="http://schemas.openxmlformats.org/markup-compatibility/2006">
          <mc:Choice Requires="x14">
            <control shapeId="11269" r:id="rId7" name="Button 5">
              <controlPr defaultSize="0" print="0" autoFill="0" autoPict="0" macro="[0]!RefreshData">
                <anchor moveWithCells="1" sizeWithCells="1">
                  <from>
                    <xdr:col>11</xdr:col>
                    <xdr:colOff>190500</xdr:colOff>
                    <xdr:row>10</xdr:row>
                    <xdr:rowOff>205740</xdr:rowOff>
                  </from>
                  <to>
                    <xdr:col>11</xdr:col>
                    <xdr:colOff>1455420</xdr:colOff>
                    <xdr:row>11</xdr:row>
                    <xdr:rowOff>243840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Projects_Data</vt:lpstr>
      <vt:lpstr>Tasks</vt:lpstr>
      <vt:lpstr>Gantt_View</vt:lpstr>
      <vt:lpstr>Lists</vt:lpstr>
      <vt:lpstr>Dashboard</vt:lpstr>
      <vt:lpstr>Filter_Country</vt:lpstr>
      <vt:lpstr>Filter_Manager</vt:lpstr>
      <vt:lpstr>Filter_Risk</vt:lpstr>
      <vt:lpstr>Filter_Status</vt:lpstr>
      <vt:lpstr>Filter_Tech</vt:lpstr>
      <vt:lpstr>Dashboard!Print_Area</vt:lpstr>
      <vt:lpstr>Lists!Print_Area</vt:lpstr>
      <vt:lpstr>Projects_Data!Print_Area</vt:lpstr>
      <vt:lpstr>Tasks!Print_Area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 Salsas</dc:creator>
  <cp:lastModifiedBy>Ana Salsas</cp:lastModifiedBy>
  <cp:lastPrinted>2026-04-09T17:54:54Z</cp:lastPrinted>
  <dcterms:created xsi:type="dcterms:W3CDTF">2026-04-01T16:13:00Z</dcterms:created>
  <dcterms:modified xsi:type="dcterms:W3CDTF">2026-04-09T18:25:23Z</dcterms:modified>
</cp:coreProperties>
</file>